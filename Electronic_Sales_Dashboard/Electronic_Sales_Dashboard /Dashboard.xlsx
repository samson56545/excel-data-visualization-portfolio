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05" activeTab="2"/>
  </bookViews>
  <sheets>
    <sheet name="Sheet5" sheetId="5" r:id="rId1"/>
    <sheet name="Pivot Table" sheetId="4" r:id="rId2"/>
    <sheet name="Data sheet" sheetId="1" r:id="rId3"/>
    <sheet name="Dashboard" sheetId="2" r:id="rId4"/>
  </sheets>
  <definedNames>
    <definedName name="Slicer_Cit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<sst xmlns="http://schemas.openxmlformats.org/spreadsheetml/2006/main" count="187" uniqueCount="46">
  <si>
    <t xml:space="preserve">Date </t>
  </si>
  <si>
    <t>Category</t>
  </si>
  <si>
    <t>Product</t>
  </si>
  <si>
    <t>Sales Rep</t>
  </si>
  <si>
    <t>City</t>
  </si>
  <si>
    <t>No of Units</t>
  </si>
  <si>
    <t xml:space="preserve">Price </t>
  </si>
  <si>
    <t>Amount</t>
  </si>
  <si>
    <t>Charger</t>
  </si>
  <si>
    <t>Nokia</t>
  </si>
  <si>
    <t>Sharlene</t>
  </si>
  <si>
    <t>Nakuru</t>
  </si>
  <si>
    <t>Martin</t>
  </si>
  <si>
    <t>Tecno</t>
  </si>
  <si>
    <t>Samson</t>
  </si>
  <si>
    <t>Kiambu</t>
  </si>
  <si>
    <t>Johnson</t>
  </si>
  <si>
    <t>Nairobi</t>
  </si>
  <si>
    <t>Itel</t>
  </si>
  <si>
    <t>Mombasa</t>
  </si>
  <si>
    <t>Row Labels</t>
  </si>
  <si>
    <t>Sum of Amount</t>
  </si>
  <si>
    <t>Sum of No of Units</t>
  </si>
  <si>
    <t>Apple</t>
  </si>
  <si>
    <t>Jan</t>
  </si>
  <si>
    <t>Head Phones</t>
  </si>
  <si>
    <t>Dell</t>
  </si>
  <si>
    <t>Mar</t>
  </si>
  <si>
    <t>Laptop</t>
  </si>
  <si>
    <t xml:space="preserve">Iphone 17 </t>
  </si>
  <si>
    <t>Jun</t>
  </si>
  <si>
    <t>Mobile Phones</t>
  </si>
  <si>
    <t>Mac</t>
  </si>
  <si>
    <t>Sep</t>
  </si>
  <si>
    <t>Grand Total</t>
  </si>
  <si>
    <t>Nov</t>
  </si>
  <si>
    <t>Vivo</t>
  </si>
  <si>
    <t>Dec</t>
  </si>
  <si>
    <t>Xiaomi</t>
  </si>
  <si>
    <t>Lenovo</t>
  </si>
  <si>
    <t>Samsung</t>
  </si>
  <si>
    <t>TV</t>
  </si>
  <si>
    <t>Hisense</t>
  </si>
  <si>
    <t>LG</t>
  </si>
  <si>
    <t>HP</t>
  </si>
  <si>
    <t>Iphone 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</si>
</sst>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$-409]* #,##0.00_ ;_-[$$-409]* \-#,##0.00\ ;_-[$$-409]* &quot;-&quot;??_ ;_-@_ "/>
  </numFmts>
  <fonts count="21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theme="3"/>
      </left>
      <right style="double">
        <color rgb="FFFF0000"/>
      </right>
      <top style="double">
        <color theme="3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theme="3"/>
      </top>
      <bottom style="double">
        <color rgb="FFFF0000"/>
      </bottom>
      <diagonal/>
    </border>
    <border>
      <left style="double">
        <color rgb="FFFF0000"/>
      </left>
      <right style="double">
        <color theme="3"/>
      </right>
      <top style="double">
        <color theme="3"/>
      </top>
      <bottom style="double">
        <color rgb="FFFF0000"/>
      </bottom>
      <diagonal/>
    </border>
    <border>
      <left style="double">
        <color theme="3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theme="3"/>
      </right>
      <top style="double">
        <color rgb="FFFF0000"/>
      </top>
      <bottom style="double">
        <color rgb="FFFF0000"/>
      </bottom>
      <diagonal/>
    </border>
    <border>
      <left style="double">
        <color theme="3"/>
      </left>
      <right style="double">
        <color rgb="FFFF0000"/>
      </right>
      <top style="double">
        <color rgb="FFFF0000"/>
      </top>
      <bottom style="double">
        <color theme="3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theme="3"/>
      </bottom>
      <diagonal/>
    </border>
    <border>
      <left style="double">
        <color rgb="FFFF0000"/>
      </left>
      <right style="double">
        <color theme="3"/>
      </right>
      <top style="double">
        <color rgb="FFFF0000"/>
      </top>
      <bottom style="double">
        <color theme="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/>
    <xf numFmtId="178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178" fontId="0" fillId="0" borderId="3" xfId="0" applyNumberFormat="1" applyFont="1" applyBorder="1"/>
    <xf numFmtId="58" fontId="0" fillId="0" borderId="4" xfId="0" applyNumberFormat="1" applyFont="1" applyBorder="1"/>
    <xf numFmtId="0" fontId="0" fillId="0" borderId="5" xfId="0" applyFont="1" applyBorder="1"/>
    <xf numFmtId="0" fontId="0" fillId="0" borderId="5" xfId="0" applyFont="1" applyBorder="1"/>
    <xf numFmtId="178" fontId="0" fillId="0" borderId="5" xfId="0" applyNumberFormat="1" applyFont="1" applyBorder="1"/>
    <xf numFmtId="178" fontId="0" fillId="0" borderId="6" xfId="0" applyNumberFormat="1" applyFont="1" applyBorder="1"/>
    <xf numFmtId="58" fontId="0" fillId="0" borderId="7" xfId="0" applyNumberFormat="1" applyFont="1" applyBorder="1"/>
    <xf numFmtId="0" fontId="0" fillId="0" borderId="8" xfId="0" applyFont="1" applyBorder="1"/>
    <xf numFmtId="0" fontId="0" fillId="0" borderId="8" xfId="0" applyFont="1" applyBorder="1"/>
    <xf numFmtId="178" fontId="0" fillId="0" borderId="8" xfId="0" applyNumberFormat="1" applyFont="1" applyBorder="1"/>
    <xf numFmtId="178" fontId="0" fillId="0" borderId="9" xfId="0" applyNumberFormat="1" applyFont="1" applyBorder="1"/>
    <xf numFmtId="0" fontId="0" fillId="0" borderId="0" xfId="0" applyAlignment="1">
      <alignment horizontal="left"/>
    </xf>
    <xf numFmtId="3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79" formatCode="dd/mm/yyyy"/>
    </dxf>
    <dxf>
      <font>
        <b val="0"/>
      </font>
      <numFmt numFmtId="180" formatCode="dd/mm/yyyy"/>
      <border>
        <diagonal/>
      </border>
    </dxf>
    <dxf>
      <font>
        <b val="0"/>
      </font>
      <border>
        <diagonal/>
      </border>
    </dxf>
    <dxf>
      <font>
        <b val="0"/>
      </font>
      <border>
        <diagonal/>
      </border>
    </dxf>
    <dxf>
      <font>
        <b val="0"/>
      </font>
      <border>
        <diagonal/>
      </border>
    </dxf>
    <dxf>
      <font>
        <b val="0"/>
      </font>
      <border>
        <diagonal/>
      </border>
    </dxf>
    <dxf>
      <font>
        <b val="0"/>
      </font>
      <border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</a:t>
            </a:r>
            <a:endParaRPr lang="en-US"/>
          </a:p>
        </c:rich>
      </c:tx>
      <c:layout/>
      <c:overlay val="0"/>
    </c:title>
    <c:autoTitleDeleted val="0"/>
    <c:view3D>
      <c:rotX val="30"/>
      <c:rotY val="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Table'!$J$4:$J$8</c:f>
              <c:strCache>
                <c:ptCount val="4"/>
                <c:pt idx="0">
                  <c:v>Johnson</c:v>
                </c:pt>
                <c:pt idx="1">
                  <c:v>Martin</c:v>
                </c:pt>
                <c:pt idx="2">
                  <c:v>Samson</c:v>
                </c:pt>
                <c:pt idx="3">
                  <c:v>Sharlene</c:v>
                </c:pt>
              </c:strCache>
            </c:strRef>
          </c:cat>
          <c:val>
            <c:numRef>
              <c:f>'Pivot Table'!$K$4:$K$8</c:f>
              <c:numCache>
                <c:formatCode>General</c:formatCode>
                <c:ptCount val="4"/>
                <c:pt idx="0">
                  <c:v>3679</c:v>
                </c:pt>
                <c:pt idx="1">
                  <c:v>7464</c:v>
                </c:pt>
                <c:pt idx="2">
                  <c:v>530</c:v>
                </c:pt>
                <c:pt idx="3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aac9e040-4f1b-47c7-ab24-9bfa8c96891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[Dashboard.xlsx]Pivot Table!PivotTable1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  <a:endParaRPr lang="en-US"/>
          </a:p>
        </c:rich>
      </c:tx>
      <c:layout>
        <c:manualLayout>
          <c:xMode val="edge"/>
          <c:yMode val="edge"/>
          <c:x val="0.349097112860892"/>
          <c:y val="0.110090405365996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elete val="1"/>
          </c:dLbls>
          <c:cat>
            <c:strRef>
              <c:f>'Pivot Table'!$A$4:$A$8</c:f>
              <c:strCache>
                <c:ptCount val="4"/>
                <c:pt idx="0">
                  <c:v>Charger</c:v>
                </c:pt>
                <c:pt idx="1">
                  <c:v>Head Phones</c:v>
                </c:pt>
                <c:pt idx="2">
                  <c:v>Laptop</c:v>
                </c:pt>
                <c:pt idx="3">
                  <c:v>Mobile Phones</c:v>
                </c:pt>
              </c:strCache>
            </c:strRef>
          </c:cat>
          <c:val>
            <c:numRef>
              <c:f>'Pivot Table'!$B$4:$B$8</c:f>
              <c:numCache>
                <c:formatCode>#,##0</c:formatCode>
                <c:ptCount val="4"/>
                <c:pt idx="0">
                  <c:v>230</c:v>
                </c:pt>
                <c:pt idx="1">
                  <c:v>336</c:v>
                </c:pt>
                <c:pt idx="2">
                  <c:v>907</c:v>
                </c:pt>
                <c:pt idx="3">
                  <c:v>10223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603520"/>
        <c:axId val="220605056"/>
      </c:barChart>
      <c:catAx>
        <c:axId val="2206035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605056"/>
        <c:crosses val="autoZero"/>
        <c:auto val="1"/>
        <c:lblAlgn val="ctr"/>
        <c:lblOffset val="100"/>
        <c:noMultiLvlLbl val="0"/>
      </c:catAx>
      <c:valAx>
        <c:axId val="220605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6035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ec8185-6a28-4c1f-8a00-9030a22151f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[Dashboard.xlsx]Pivot Table!PivotTable3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Items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42176299879834"/>
          <c:y val="0.286375400991543"/>
          <c:w val="0.844968998348702"/>
          <c:h val="0.381217191601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elete val="1"/>
          </c:dLbls>
          <c:cat>
            <c:strRef>
              <c:f>'Pivot Table'!$D$4:$D$11</c:f>
              <c:strCache>
                <c:ptCount val="7"/>
                <c:pt idx="0">
                  <c:v>Apple</c:v>
                </c:pt>
                <c:pt idx="1">
                  <c:v>Dell</c:v>
                </c:pt>
                <c:pt idx="2">
                  <c:v>Iphone 17 </c:v>
                </c:pt>
                <c:pt idx="3">
                  <c:v>Mac</c:v>
                </c:pt>
                <c:pt idx="4">
                  <c:v>Tecno</c:v>
                </c:pt>
                <c:pt idx="5">
                  <c:v>Vivo</c:v>
                </c:pt>
                <c:pt idx="6">
                  <c:v>Xiaomi</c:v>
                </c:pt>
              </c:strCache>
            </c:strRef>
          </c:cat>
          <c:val>
            <c:numRef>
              <c:f>'Pivot Table'!$E$4:$E$11</c:f>
              <c:numCache>
                <c:formatCode>General</c:formatCode>
                <c:ptCount val="7"/>
                <c:pt idx="0">
                  <c:v>14</c:v>
                </c:pt>
                <c:pt idx="1">
                  <c:v>26</c:v>
                </c:pt>
                <c:pt idx="2">
                  <c:v>25</c:v>
                </c:pt>
                <c:pt idx="3">
                  <c:v>1</c:v>
                </c:pt>
                <c:pt idx="4">
                  <c:v>5</c:v>
                </c:pt>
                <c:pt idx="5">
                  <c:v>43</c:v>
                </c:pt>
                <c:pt idx="6">
                  <c:v>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613248"/>
        <c:axId val="220635520"/>
      </c:barChart>
      <c:catAx>
        <c:axId val="2206132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635520"/>
        <c:crosses val="autoZero"/>
        <c:auto val="1"/>
        <c:lblAlgn val="ctr"/>
        <c:lblOffset val="100"/>
        <c:noMultiLvlLbl val="0"/>
      </c:catAx>
      <c:valAx>
        <c:axId val="220635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613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af30cd7-3f3c-48f1-bcb0-af70f5ad5d0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Sales</a:t>
            </a:r>
            <a:endParaRPr lang="en-US"/>
          </a:p>
        </c:rich>
      </c:tx>
      <c:layout>
        <c:manualLayout>
          <c:xMode val="edge"/>
          <c:yMode val="edge"/>
          <c:x val="0.357048556430446"/>
          <c:y val="0.0776829979585885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Lbls>
            <c:delete val="1"/>
          </c:dLbls>
          <c:cat>
            <c:strRef>
              <c:f>'Pivot Table'!$G$4:$G$10</c:f>
              <c:strCache>
                <c:ptCount val="6"/>
                <c:pt idx="0">
                  <c:v>Jan</c:v>
                </c:pt>
                <c:pt idx="1">
                  <c:v>Mar</c:v>
                </c:pt>
                <c:pt idx="2">
                  <c:v>Jun</c:v>
                </c:pt>
                <c:pt idx="3">
                  <c:v>Sep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Table'!$H$4:$H$10</c:f>
              <c:numCache>
                <c:formatCode>#,##0</c:formatCode>
                <c:ptCount val="6"/>
                <c:pt idx="0">
                  <c:v>636</c:v>
                </c:pt>
                <c:pt idx="1">
                  <c:v>23</c:v>
                </c:pt>
                <c:pt idx="2">
                  <c:v>7128</c:v>
                </c:pt>
                <c:pt idx="3">
                  <c:v>230</c:v>
                </c:pt>
                <c:pt idx="4">
                  <c:v>884</c:v>
                </c:pt>
                <c:pt idx="5">
                  <c:v>2795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073881-02e0-48cf-a9be-8fbe6670737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16</xdr:row>
      <xdr:rowOff>0</xdr:rowOff>
    </xdr:from>
    <xdr:to>
      <xdr:col>17</xdr:col>
      <xdr:colOff>106072</xdr:colOff>
      <xdr:row>29</xdr:row>
      <xdr:rowOff>43500</xdr:rowOff>
    </xdr:to>
    <xdr:graphicFrame>
      <xdr:nvGraphicFramePr>
        <xdr:cNvPr id="7" name="Chart 6"/>
        <xdr:cNvGraphicFramePr/>
      </xdr:nvGraphicFramePr>
      <xdr:xfrm>
        <a:off x="6600825" y="3048000"/>
        <a:ext cx="37064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598715</xdr:colOff>
      <xdr:row>0</xdr:row>
      <xdr:rowOff>108857</xdr:rowOff>
    </xdr:from>
    <xdr:to>
      <xdr:col>10</xdr:col>
      <xdr:colOff>108793</xdr:colOff>
      <xdr:row>13</xdr:row>
      <xdr:rowOff>152357</xdr:rowOff>
    </xdr:to>
    <xdr:graphicFrame>
      <xdr:nvGraphicFramePr>
        <xdr:cNvPr id="4" name="Chart 3"/>
        <xdr:cNvGraphicFramePr/>
      </xdr:nvGraphicFramePr>
      <xdr:xfrm>
        <a:off x="2398395" y="108585"/>
        <a:ext cx="371094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-1</xdr:colOff>
      <xdr:row>1</xdr:row>
      <xdr:rowOff>0</xdr:rowOff>
    </xdr:from>
    <xdr:to>
      <xdr:col>17</xdr:col>
      <xdr:colOff>106071</xdr:colOff>
      <xdr:row>14</xdr:row>
      <xdr:rowOff>43500</xdr:rowOff>
    </xdr:to>
    <xdr:graphicFrame>
      <xdr:nvGraphicFramePr>
        <xdr:cNvPr id="5" name="Chart 4"/>
        <xdr:cNvGraphicFramePr/>
      </xdr:nvGraphicFramePr>
      <xdr:xfrm>
        <a:off x="6600190" y="190500"/>
        <a:ext cx="370713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13607</xdr:colOff>
      <xdr:row>15</xdr:row>
      <xdr:rowOff>149678</xdr:rowOff>
    </xdr:from>
    <xdr:to>
      <xdr:col>10</xdr:col>
      <xdr:colOff>119679</xdr:colOff>
      <xdr:row>29</xdr:row>
      <xdr:rowOff>2678</xdr:rowOff>
    </xdr:to>
    <xdr:graphicFrame>
      <xdr:nvGraphicFramePr>
        <xdr:cNvPr id="6" name="Chart 5"/>
        <xdr:cNvGraphicFramePr/>
      </xdr:nvGraphicFramePr>
      <xdr:xfrm>
        <a:off x="2413635" y="3006725"/>
        <a:ext cx="3706495" cy="2520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12246</xdr:colOff>
      <xdr:row>1</xdr:row>
      <xdr:rowOff>20411</xdr:rowOff>
    </xdr:from>
    <xdr:to>
      <xdr:col>3</xdr:col>
      <xdr:colOff>4082</xdr:colOff>
      <xdr:row>14</xdr:row>
      <xdr:rowOff>68036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" y="210820"/>
              <a:ext cx="179197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5927.5315200231" refreshedBy="user" recordCount="30">
  <cacheSource type="worksheet">
    <worksheetSource name="Table1"/>
  </cacheSource>
  <cacheFields count="8">
    <cacheField name="Date " numFmtId="58">
      <sharedItems containsSemiMixedTypes="0" containsString="0" containsNonDate="0" containsDate="1" minDate="2025-01-01T00:00:00" maxDate="2025-12-31T00:00:00" count="30">
        <d v="2025-01-01T00:00:00"/>
        <d v="2025-01-05T00:00:00"/>
        <d v="2025-01-15T00:00:00"/>
        <d v="2025-01-30T00:00:00"/>
        <d v="2025-02-02T00:00:00"/>
        <d v="2025-02-05T00:00:00"/>
        <d v="2025-02-22T00:00:00"/>
        <d v="2025-02-28T00:00:00"/>
        <d v="2025-03-05T00:00:00"/>
        <d v="2025-03-27T00:00:00"/>
        <d v="2025-04-12T00:00:00"/>
        <d v="2025-05-05T00:00:00"/>
        <d v="2025-05-15T00:00:00"/>
        <d v="2025-06-11T00:00:00"/>
        <d v="2025-06-15T00:00:00"/>
        <d v="2025-07-01T00:00:00"/>
        <d v="2025-07-25T00:00:00"/>
        <d v="2025-07-31T00:00:00"/>
        <d v="2025-08-05T00:00:00"/>
        <d v="2025-09-15T00:00:00"/>
        <d v="2025-09-25T00:00:00"/>
        <d v="2025-10-05T00:00:00"/>
        <d v="2025-10-06T00:00:00"/>
        <d v="2025-11-02T00:00:00"/>
        <d v="2025-11-04T00:00:00"/>
        <d v="2025-11-16T00:00:00"/>
        <d v="2025-12-05T00:00:00"/>
        <d v="2025-12-08T00:00:00"/>
        <d v="2025-12-19T00:00:00"/>
        <d v="2025-12-31T00:00:00"/>
      </sharedItems>
      <fieldGroup base="0">
        <rangePr groupBy="months" startDate="2025-01-01T00:00:00" endDate="2026-01-01T00:00:00" groupInterval="1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Category" numFmtId="0">
      <sharedItems count="5">
        <s v="Laptop"/>
        <s v="Mobile Phones"/>
        <s v="Head Phones"/>
        <s v="Charger"/>
        <s v="TV"/>
      </sharedItems>
    </cacheField>
    <cacheField name="Product" numFmtId="0">
      <sharedItems count="15">
        <s v="Dell"/>
        <s v="Iphone 17 "/>
        <s v="Tecno"/>
        <s v="Apple"/>
        <s v="Lenovo"/>
        <s v="Samsung"/>
        <s v="Itel"/>
        <s v="Hisense"/>
        <s v="Mac"/>
        <s v="Xiaomi"/>
        <s v="LG"/>
        <s v="HP"/>
        <s v="Iphone 16"/>
        <s v="Nokia"/>
        <s v="Vivo"/>
      </sharedItems>
    </cacheField>
    <cacheField name="Sales Rep" numFmtId="0">
      <sharedItems count="4">
        <s v="Johnson"/>
        <s v="Samson"/>
        <s v="Sharlene"/>
        <s v="Martin"/>
      </sharedItems>
    </cacheField>
    <cacheField name="City" numFmtId="0">
      <sharedItems count="4">
        <s v="Nairobi"/>
        <s v="Kiambu"/>
        <s v="Nakuru"/>
        <s v="Mombasa"/>
      </sharedItems>
    </cacheField>
    <cacheField name="No of Units" numFmtId="0">
      <sharedItems containsSemiMixedTypes="0" containsString="0" containsNumber="1" containsInteger="1" minValue="1" maxValue="70" count="28">
        <n v="10"/>
        <n v="25"/>
        <n v="35"/>
        <n v="14"/>
        <n v="13"/>
        <n v="24"/>
        <n v="12"/>
        <n v="2"/>
        <n v="1"/>
        <n v="15"/>
        <n v="19"/>
        <n v="36"/>
        <n v="54"/>
        <n v="38"/>
        <n v="22"/>
        <n v="32"/>
        <n v="11"/>
        <n v="9"/>
        <n v="5"/>
        <n v="18"/>
        <n v="16"/>
        <n v="26"/>
        <n v="39"/>
        <n v="45"/>
        <n v="70"/>
        <n v="65"/>
        <n v="43"/>
        <n v="6"/>
      </sharedItems>
    </cacheField>
    <cacheField name="Price " numFmtId="178">
      <sharedItems containsSemiMixedTypes="0" containsString="0" containsNumber="1" containsInteger="1" minValue="11" maxValue="170" count="28">
        <n v="25"/>
        <n v="12"/>
        <n v="13"/>
        <n v="24"/>
        <n v="42"/>
        <n v="56"/>
        <n v="11"/>
        <n v="18"/>
        <n v="23"/>
        <n v="45"/>
        <n v="20"/>
        <n v="75"/>
        <n v="100"/>
        <n v="132"/>
        <n v="137"/>
        <n v="154"/>
        <n v="170"/>
        <n v="36"/>
        <n v="90"/>
        <n v="46"/>
        <n v="110"/>
        <n v="115"/>
        <n v="165"/>
        <n v="34"/>
        <n v="76"/>
        <n v="87"/>
        <n v="65"/>
        <n v="58"/>
      </sharedItems>
    </cacheField>
    <cacheField name="Amount" numFmtId="178">
      <sharedItems containsSemiMixedTypes="0" containsString="0" containsNumber="1" containsInteger="1" minValue="23" maxValue="7128" count="29">
        <n v="250"/>
        <n v="300"/>
        <n v="455"/>
        <n v="336"/>
        <n v="546"/>
        <n v="1344"/>
        <n v="132"/>
        <n v="36"/>
        <n v="23"/>
        <n v="585"/>
        <n v="1425"/>
        <n v="3600"/>
        <n v="7128"/>
        <n v="5206"/>
        <n v="3388"/>
        <n v="5440"/>
        <n v="396"/>
        <n v="810"/>
        <n v="230"/>
        <n v="1980"/>
        <n v="1610"/>
        <n v="2640"/>
        <n v="884"/>
        <n v="2964"/>
        <n v="2520"/>
        <n v="6090"/>
        <n v="4940"/>
        <n v="2795"/>
        <n v="34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1"/>
    <x v="2"/>
    <x v="2"/>
    <x v="0"/>
    <x v="2"/>
    <x v="2"/>
    <x v="2"/>
  </r>
  <r>
    <x v="3"/>
    <x v="2"/>
    <x v="3"/>
    <x v="3"/>
    <x v="1"/>
    <x v="3"/>
    <x v="3"/>
    <x v="3"/>
  </r>
  <r>
    <x v="4"/>
    <x v="0"/>
    <x v="4"/>
    <x v="1"/>
    <x v="2"/>
    <x v="4"/>
    <x v="4"/>
    <x v="4"/>
  </r>
  <r>
    <x v="5"/>
    <x v="1"/>
    <x v="5"/>
    <x v="0"/>
    <x v="2"/>
    <x v="5"/>
    <x v="5"/>
    <x v="5"/>
  </r>
  <r>
    <x v="6"/>
    <x v="3"/>
    <x v="6"/>
    <x v="3"/>
    <x v="3"/>
    <x v="6"/>
    <x v="6"/>
    <x v="6"/>
  </r>
  <r>
    <x v="7"/>
    <x v="4"/>
    <x v="7"/>
    <x v="1"/>
    <x v="0"/>
    <x v="7"/>
    <x v="7"/>
    <x v="7"/>
  </r>
  <r>
    <x v="8"/>
    <x v="0"/>
    <x v="8"/>
    <x v="2"/>
    <x v="1"/>
    <x v="8"/>
    <x v="8"/>
    <x v="8"/>
  </r>
  <r>
    <x v="9"/>
    <x v="2"/>
    <x v="3"/>
    <x v="0"/>
    <x v="3"/>
    <x v="4"/>
    <x v="9"/>
    <x v="9"/>
  </r>
  <r>
    <x v="10"/>
    <x v="1"/>
    <x v="6"/>
    <x v="3"/>
    <x v="3"/>
    <x v="9"/>
    <x v="10"/>
    <x v="1"/>
  </r>
  <r>
    <x v="11"/>
    <x v="0"/>
    <x v="0"/>
    <x v="1"/>
    <x v="2"/>
    <x v="10"/>
    <x v="11"/>
    <x v="10"/>
  </r>
  <r>
    <x v="12"/>
    <x v="3"/>
    <x v="2"/>
    <x v="0"/>
    <x v="0"/>
    <x v="11"/>
    <x v="12"/>
    <x v="11"/>
  </r>
  <r>
    <x v="13"/>
    <x v="1"/>
    <x v="9"/>
    <x v="3"/>
    <x v="1"/>
    <x v="12"/>
    <x v="13"/>
    <x v="12"/>
  </r>
  <r>
    <x v="14"/>
    <x v="4"/>
    <x v="10"/>
    <x v="2"/>
    <x v="3"/>
    <x v="13"/>
    <x v="14"/>
    <x v="13"/>
  </r>
  <r>
    <x v="15"/>
    <x v="0"/>
    <x v="11"/>
    <x v="1"/>
    <x v="3"/>
    <x v="14"/>
    <x v="15"/>
    <x v="14"/>
  </r>
  <r>
    <x v="16"/>
    <x v="0"/>
    <x v="11"/>
    <x v="0"/>
    <x v="2"/>
    <x v="15"/>
    <x v="16"/>
    <x v="15"/>
  </r>
  <r>
    <x v="17"/>
    <x v="1"/>
    <x v="12"/>
    <x v="1"/>
    <x v="3"/>
    <x v="16"/>
    <x v="17"/>
    <x v="16"/>
  </r>
  <r>
    <x v="18"/>
    <x v="2"/>
    <x v="3"/>
    <x v="2"/>
    <x v="0"/>
    <x v="17"/>
    <x v="18"/>
    <x v="17"/>
  </r>
  <r>
    <x v="19"/>
    <x v="3"/>
    <x v="2"/>
    <x v="1"/>
    <x v="1"/>
    <x v="18"/>
    <x v="19"/>
    <x v="18"/>
  </r>
  <r>
    <x v="20"/>
    <x v="4"/>
    <x v="10"/>
    <x v="3"/>
    <x v="3"/>
    <x v="19"/>
    <x v="20"/>
    <x v="19"/>
  </r>
  <r>
    <x v="21"/>
    <x v="3"/>
    <x v="13"/>
    <x v="3"/>
    <x v="2"/>
    <x v="3"/>
    <x v="21"/>
    <x v="20"/>
  </r>
  <r>
    <x v="22"/>
    <x v="2"/>
    <x v="3"/>
    <x v="2"/>
    <x v="3"/>
    <x v="20"/>
    <x v="22"/>
    <x v="21"/>
  </r>
  <r>
    <x v="23"/>
    <x v="0"/>
    <x v="0"/>
    <x v="0"/>
    <x v="1"/>
    <x v="21"/>
    <x v="23"/>
    <x v="22"/>
  </r>
  <r>
    <x v="24"/>
    <x v="2"/>
    <x v="3"/>
    <x v="1"/>
    <x v="0"/>
    <x v="22"/>
    <x v="24"/>
    <x v="23"/>
  </r>
  <r>
    <x v="25"/>
    <x v="1"/>
    <x v="13"/>
    <x v="1"/>
    <x v="3"/>
    <x v="23"/>
    <x v="5"/>
    <x v="24"/>
  </r>
  <r>
    <x v="26"/>
    <x v="3"/>
    <x v="13"/>
    <x v="2"/>
    <x v="2"/>
    <x v="24"/>
    <x v="25"/>
    <x v="25"/>
  </r>
  <r>
    <x v="27"/>
    <x v="2"/>
    <x v="3"/>
    <x v="3"/>
    <x v="2"/>
    <x v="25"/>
    <x v="24"/>
    <x v="26"/>
  </r>
  <r>
    <x v="28"/>
    <x v="1"/>
    <x v="14"/>
    <x v="0"/>
    <x v="1"/>
    <x v="26"/>
    <x v="26"/>
    <x v="27"/>
  </r>
  <r>
    <x v="29"/>
    <x v="0"/>
    <x v="4"/>
    <x v="3"/>
    <x v="0"/>
    <x v="27"/>
    <x v="27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indent="0" outline="1" outlineData="1" showDrill="1" multipleFieldFilters="0" chartFormat="4">
  <location ref="D3:E11" firstHeaderRow="1" firstDataRow="1" firstDataCol="1"/>
  <pivotFields count="8"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axis="axisRow" showAll="0">
      <items count="16">
        <item x="3"/>
        <item x="0"/>
        <item x="7"/>
        <item x="11"/>
        <item x="12"/>
        <item x="1"/>
        <item x="6"/>
        <item x="4"/>
        <item x="10"/>
        <item x="8"/>
        <item x="13"/>
        <item x="5"/>
        <item x="2"/>
        <item x="14"/>
        <item x="9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5">
        <item x="1"/>
        <item h="1" x="3"/>
        <item h="1" x="0"/>
        <item h="1" x="2"/>
        <item t="default"/>
      </items>
    </pivotField>
    <pivotField dataField="1" showAll="0">
      <items count="29">
        <item x="8"/>
        <item x="7"/>
        <item x="18"/>
        <item x="27"/>
        <item x="17"/>
        <item x="0"/>
        <item x="16"/>
        <item x="6"/>
        <item x="4"/>
        <item x="3"/>
        <item x="9"/>
        <item x="20"/>
        <item x="19"/>
        <item x="10"/>
        <item x="14"/>
        <item x="5"/>
        <item x="1"/>
        <item x="21"/>
        <item x="15"/>
        <item x="2"/>
        <item x="11"/>
        <item x="13"/>
        <item x="22"/>
        <item x="26"/>
        <item x="23"/>
        <item x="12"/>
        <item x="25"/>
        <item x="24"/>
        <item t="default"/>
      </items>
    </pivotField>
    <pivotField numFmtId="178" showAll="0">
      <items count="29">
        <item x="6"/>
        <item x="1"/>
        <item x="2"/>
        <item x="7"/>
        <item x="10"/>
        <item x="8"/>
        <item x="3"/>
        <item x="0"/>
        <item x="23"/>
        <item x="17"/>
        <item x="4"/>
        <item x="9"/>
        <item x="19"/>
        <item x="5"/>
        <item x="27"/>
        <item x="26"/>
        <item x="11"/>
        <item x="24"/>
        <item x="25"/>
        <item x="18"/>
        <item x="12"/>
        <item x="20"/>
        <item x="21"/>
        <item x="13"/>
        <item x="14"/>
        <item x="15"/>
        <item x="22"/>
        <item x="16"/>
        <item t="default"/>
      </items>
    </pivotField>
    <pivotField numFmtId="178" showAll="0">
      <items count="30">
        <item x="8"/>
        <item x="7"/>
        <item x="6"/>
        <item x="18"/>
        <item x="0"/>
        <item x="1"/>
        <item x="3"/>
        <item x="28"/>
        <item x="16"/>
        <item x="2"/>
        <item x="4"/>
        <item x="9"/>
        <item x="17"/>
        <item x="22"/>
        <item x="5"/>
        <item x="10"/>
        <item x="20"/>
        <item x="19"/>
        <item x="24"/>
        <item x="21"/>
        <item x="27"/>
        <item x="23"/>
        <item x="14"/>
        <item x="11"/>
        <item x="26"/>
        <item x="13"/>
        <item x="15"/>
        <item x="25"/>
        <item x="12"/>
        <item t="default"/>
      </items>
    </pivotField>
  </pivotFields>
  <rowFields count="1">
    <field x="2"/>
  </rowFields>
  <rowItems count="8">
    <i>
      <x/>
    </i>
    <i>
      <x v="1"/>
    </i>
    <i>
      <x v="5"/>
    </i>
    <i>
      <x v="9"/>
    </i>
    <i>
      <x v="12"/>
    </i>
    <i>
      <x v="13"/>
    </i>
    <i>
      <x v="14"/>
    </i>
    <i t="grand">
      <x/>
    </i>
  </rowItems>
  <colItems count="1">
    <i/>
  </colItems>
  <dataFields count="1">
    <dataField name="Sum of No of Unit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indent="0" outline="1" outlineData="1" showDrill="1" multipleFieldFilters="0" chartFormat="8">
  <location ref="A3:B8" firstHeaderRow="1" firstDataRow="1" firstDataCol="1"/>
  <pivotFields count="8"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16">
        <item x="3"/>
        <item x="0"/>
        <item x="7"/>
        <item x="11"/>
        <item x="12"/>
        <item x="1"/>
        <item x="6"/>
        <item x="4"/>
        <item x="10"/>
        <item x="8"/>
        <item x="13"/>
        <item x="5"/>
        <item x="2"/>
        <item x="14"/>
        <item x="9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5">
        <item x="1"/>
        <item h="1" x="3"/>
        <item h="1" x="0"/>
        <item h="1" x="2"/>
        <item t="default"/>
      </items>
    </pivotField>
    <pivotField showAll="0">
      <items count="29">
        <item x="8"/>
        <item x="7"/>
        <item x="18"/>
        <item x="27"/>
        <item x="17"/>
        <item x="0"/>
        <item x="16"/>
        <item x="6"/>
        <item x="4"/>
        <item x="3"/>
        <item x="9"/>
        <item x="20"/>
        <item x="19"/>
        <item x="10"/>
        <item x="14"/>
        <item x="5"/>
        <item x="1"/>
        <item x="21"/>
        <item x="15"/>
        <item x="2"/>
        <item x="11"/>
        <item x="13"/>
        <item x="22"/>
        <item x="26"/>
        <item x="23"/>
        <item x="12"/>
        <item x="25"/>
        <item x="24"/>
        <item t="default"/>
      </items>
    </pivotField>
    <pivotField numFmtId="178" showAll="0">
      <items count="29">
        <item x="6"/>
        <item x="1"/>
        <item x="2"/>
        <item x="7"/>
        <item x="10"/>
        <item x="8"/>
        <item x="3"/>
        <item x="0"/>
        <item x="23"/>
        <item x="17"/>
        <item x="4"/>
        <item x="9"/>
        <item x="19"/>
        <item x="5"/>
        <item x="27"/>
        <item x="26"/>
        <item x="11"/>
        <item x="24"/>
        <item x="25"/>
        <item x="18"/>
        <item x="12"/>
        <item x="20"/>
        <item x="21"/>
        <item x="13"/>
        <item x="14"/>
        <item x="15"/>
        <item x="22"/>
        <item x="16"/>
        <item t="default"/>
      </items>
    </pivotField>
    <pivotField dataField="1" numFmtId="178" showAll="0">
      <items count="30">
        <item x="8"/>
        <item x="7"/>
        <item x="6"/>
        <item x="18"/>
        <item x="0"/>
        <item x="1"/>
        <item x="3"/>
        <item x="28"/>
        <item x="16"/>
        <item x="2"/>
        <item x="4"/>
        <item x="9"/>
        <item x="17"/>
        <item x="22"/>
        <item x="5"/>
        <item x="10"/>
        <item x="20"/>
        <item x="19"/>
        <item x="24"/>
        <item x="21"/>
        <item x="27"/>
        <item x="23"/>
        <item x="14"/>
        <item x="11"/>
        <item x="26"/>
        <item x="13"/>
        <item x="15"/>
        <item x="25"/>
        <item x="1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indent="0" outline="1" outlineData="1" showDrill="1" multipleFieldFilters="0" chartFormat="4">
  <location ref="J3:K8" firstHeaderRow="1" firstDataRow="1" firstDataCol="1"/>
  <pivotFields count="8">
    <pivotField defaultSubtotal="0" multipleItemSelectionAllowed="1" numFmtId="58" showAll="0" includeNewItemsInFilter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16">
        <item x="3"/>
        <item x="0"/>
        <item x="7"/>
        <item x="11"/>
        <item x="12"/>
        <item x="1"/>
        <item x="6"/>
        <item x="4"/>
        <item x="10"/>
        <item x="8"/>
        <item x="13"/>
        <item x="5"/>
        <item x="2"/>
        <item x="14"/>
        <item x="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>
      <items count="5">
        <item x="1"/>
        <item h="1" x="3"/>
        <item h="1" x="0"/>
        <item h="1" x="2"/>
        <item t="default"/>
      </items>
    </pivotField>
    <pivotField showAll="0">
      <items count="29">
        <item x="8"/>
        <item x="7"/>
        <item x="18"/>
        <item x="27"/>
        <item x="17"/>
        <item x="0"/>
        <item x="16"/>
        <item x="6"/>
        <item x="4"/>
        <item x="3"/>
        <item x="9"/>
        <item x="20"/>
        <item x="19"/>
        <item x="10"/>
        <item x="14"/>
        <item x="5"/>
        <item x="1"/>
        <item x="21"/>
        <item x="15"/>
        <item x="2"/>
        <item x="11"/>
        <item x="13"/>
        <item x="22"/>
        <item x="26"/>
        <item x="23"/>
        <item x="12"/>
        <item x="25"/>
        <item x="24"/>
        <item t="default"/>
      </items>
    </pivotField>
    <pivotField numFmtId="178" showAll="0">
      <items count="29">
        <item x="6"/>
        <item x="1"/>
        <item x="2"/>
        <item x="7"/>
        <item x="10"/>
        <item x="8"/>
        <item x="3"/>
        <item x="0"/>
        <item x="23"/>
        <item x="17"/>
        <item x="4"/>
        <item x="9"/>
        <item x="19"/>
        <item x="5"/>
        <item x="27"/>
        <item x="26"/>
        <item x="11"/>
        <item x="24"/>
        <item x="25"/>
        <item x="18"/>
        <item x="12"/>
        <item x="20"/>
        <item x="21"/>
        <item x="13"/>
        <item x="14"/>
        <item x="15"/>
        <item x="22"/>
        <item x="16"/>
        <item t="default"/>
      </items>
    </pivotField>
    <pivotField dataField="1" numFmtId="178" showAll="0">
      <items count="30">
        <item x="8"/>
        <item x="7"/>
        <item x="6"/>
        <item x="18"/>
        <item x="0"/>
        <item x="1"/>
        <item x="3"/>
        <item x="28"/>
        <item x="16"/>
        <item x="2"/>
        <item x="4"/>
        <item x="9"/>
        <item x="17"/>
        <item x="22"/>
        <item x="5"/>
        <item x="10"/>
        <item x="20"/>
        <item x="19"/>
        <item x="24"/>
        <item x="21"/>
        <item x="27"/>
        <item x="23"/>
        <item x="14"/>
        <item x="11"/>
        <item x="26"/>
        <item x="13"/>
        <item x="15"/>
        <item x="25"/>
        <item x="1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indent="0" outline="1" outlineData="1" showDrill="1" multipleFieldFilters="0" chartFormat="3">
  <location ref="G3:H10" firstHeaderRow="1" firstDataRow="1" firstDataCol="1"/>
  <pivotFields count="8">
    <pivotField axis="axisRow" defaultSubtotal="0" multipleItemSelectionAllowed="1" numFmtId="58" showAll="0" includeNewItemsInFilter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16">
        <item x="3"/>
        <item x="0"/>
        <item x="7"/>
        <item x="11"/>
        <item x="12"/>
        <item x="1"/>
        <item x="6"/>
        <item x="4"/>
        <item x="10"/>
        <item x="8"/>
        <item x="13"/>
        <item x="5"/>
        <item x="2"/>
        <item x="14"/>
        <item x="9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5">
        <item x="1"/>
        <item h="1" x="3"/>
        <item h="1" x="0"/>
        <item h="1" x="2"/>
        <item t="default"/>
      </items>
    </pivotField>
    <pivotField showAll="0">
      <items count="29">
        <item x="8"/>
        <item x="7"/>
        <item x="18"/>
        <item x="27"/>
        <item x="17"/>
        <item x="0"/>
        <item x="16"/>
        <item x="6"/>
        <item x="4"/>
        <item x="3"/>
        <item x="9"/>
        <item x="20"/>
        <item x="19"/>
        <item x="10"/>
        <item x="14"/>
        <item x="5"/>
        <item x="1"/>
        <item x="21"/>
        <item x="15"/>
        <item x="2"/>
        <item x="11"/>
        <item x="13"/>
        <item x="22"/>
        <item x="26"/>
        <item x="23"/>
        <item x="12"/>
        <item x="25"/>
        <item x="24"/>
        <item t="default"/>
      </items>
    </pivotField>
    <pivotField numFmtId="178" showAll="0">
      <items count="29">
        <item x="6"/>
        <item x="1"/>
        <item x="2"/>
        <item x="7"/>
        <item x="10"/>
        <item x="8"/>
        <item x="3"/>
        <item x="0"/>
        <item x="23"/>
        <item x="17"/>
        <item x="4"/>
        <item x="9"/>
        <item x="19"/>
        <item x="5"/>
        <item x="27"/>
        <item x="26"/>
        <item x="11"/>
        <item x="24"/>
        <item x="25"/>
        <item x="18"/>
        <item x="12"/>
        <item x="20"/>
        <item x="21"/>
        <item x="13"/>
        <item x="14"/>
        <item x="15"/>
        <item x="22"/>
        <item x="16"/>
        <item t="default"/>
      </items>
    </pivotField>
    <pivotField dataField="1" numFmtId="178" showAll="0">
      <items count="30">
        <item x="8"/>
        <item x="7"/>
        <item x="6"/>
        <item x="18"/>
        <item x="0"/>
        <item x="1"/>
        <item x="3"/>
        <item x="28"/>
        <item x="16"/>
        <item x="2"/>
        <item x="4"/>
        <item x="9"/>
        <item x="17"/>
        <item x="22"/>
        <item x="5"/>
        <item x="10"/>
        <item x="20"/>
        <item x="19"/>
        <item x="24"/>
        <item x="21"/>
        <item x="27"/>
        <item x="23"/>
        <item x="14"/>
        <item x="11"/>
        <item x="26"/>
        <item x="13"/>
        <item x="15"/>
        <item x="25"/>
        <item x="12"/>
        <item t="default"/>
      </items>
    </pivotField>
  </pivotFields>
  <rowFields count="1">
    <field x="0"/>
  </rowFields>
  <rowItems count="7">
    <i>
      <x v="1"/>
    </i>
    <i>
      <x v="3"/>
    </i>
    <i>
      <x v="6"/>
    </i>
    <i>
      <x v="9"/>
    </i>
    <i>
      <x v="11"/>
    </i>
    <i>
      <x v="12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4" name="PivotTable1"/>
    <pivotTable tabId="4" name="PivotTable4"/>
    <pivotTable tabId="4" name="PivotTable5"/>
    <pivotTable tabId="4" name="PivotTable3"/>
  </pivotTables>
  <data>
    <tabular pivotCacheId="1">
      <items count="4">
        <i x="1" s="1"/>
        <i x="3" s="0"/>
        <i x="0" s="0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41300"/>
</slicers>
</file>

<file path=xl/tables/table1.xml><?xml version="1.0" encoding="utf-8"?>
<table xmlns="http://schemas.openxmlformats.org/spreadsheetml/2006/main" id="2" name="Table2" displayName="Table2" ref="A1:H6" totalsRowShown="0">
  <autoFilter xmlns:etc="http://www.wps.cn/officeDocument/2017/etCustomData" ref="A1:H6" etc:filterBottomFollowUsedRange="0"/>
  <tableColumns count="8">
    <tableColumn id="1" name="Date " dataDxfId="0"/>
    <tableColumn id="2" name="Category"/>
    <tableColumn id="3" name="Product"/>
    <tableColumn id="4" name="Sales Rep"/>
    <tableColumn id="5" name="City"/>
    <tableColumn id="6" name="No of Units"/>
    <tableColumn id="7" name="Price "/>
    <tableColumn id="8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31" totalsRowShown="0">
  <autoFilter xmlns:etc="http://www.wps.cn/officeDocument/2017/etCustomData" ref="A1:F31" etc:filterBottomFollowUsedRange="0"/>
  <tableColumns count="6">
    <tableColumn id="1" name="Date " dataDxfId="1"/>
    <tableColumn id="2" name="Category" dataDxfId="2"/>
    <tableColumn id="3" name="Product" dataDxfId="3"/>
    <tableColumn id="4" name="Sales Rep" dataDxfId="4"/>
    <tableColumn id="5" name="City" dataDxfId="5"/>
    <tableColumn id="6" name="No of Units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6"/>
    </sheetView>
  </sheetViews>
  <sheetFormatPr defaultColWidth="9" defaultRowHeight="15" outlineLevelRow="5" outlineLevelCol="7"/>
  <cols>
    <col min="2" max="2" width="11" customWidth="1"/>
    <col min="3" max="3" width="10" customWidth="1"/>
    <col min="4" max="4" width="11.5714285714286" customWidth="1"/>
    <col min="6" max="6" width="13.1428571428571" customWidth="1"/>
    <col min="8" max="8" width="10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7">
        <v>45996</v>
      </c>
      <c r="B2" t="s">
        <v>8</v>
      </c>
      <c r="C2" t="s">
        <v>9</v>
      </c>
      <c r="D2" t="s">
        <v>10</v>
      </c>
      <c r="E2" t="s">
        <v>11</v>
      </c>
      <c r="F2">
        <v>70</v>
      </c>
      <c r="G2">
        <v>87</v>
      </c>
      <c r="H2">
        <v>6090</v>
      </c>
    </row>
    <row r="3" spans="1:8">
      <c r="A3" s="17">
        <v>45935</v>
      </c>
      <c r="B3" t="s">
        <v>8</v>
      </c>
      <c r="C3" t="s">
        <v>9</v>
      </c>
      <c r="D3" t="s">
        <v>12</v>
      </c>
      <c r="E3" t="s">
        <v>11</v>
      </c>
      <c r="F3">
        <v>14</v>
      </c>
      <c r="G3">
        <v>115</v>
      </c>
      <c r="H3">
        <v>1610</v>
      </c>
    </row>
    <row r="4" spans="1:8">
      <c r="A4" s="17">
        <v>45915</v>
      </c>
      <c r="B4" t="s">
        <v>8</v>
      </c>
      <c r="C4" t="s">
        <v>13</v>
      </c>
      <c r="D4" t="s">
        <v>14</v>
      </c>
      <c r="E4" t="s">
        <v>15</v>
      </c>
      <c r="F4">
        <v>5</v>
      </c>
      <c r="G4">
        <v>46</v>
      </c>
      <c r="H4">
        <v>230</v>
      </c>
    </row>
    <row r="5" spans="1:8">
      <c r="A5" s="17">
        <v>45792</v>
      </c>
      <c r="B5" t="s">
        <v>8</v>
      </c>
      <c r="C5" t="s">
        <v>13</v>
      </c>
      <c r="D5" t="s">
        <v>16</v>
      </c>
      <c r="E5" t="s">
        <v>17</v>
      </c>
      <c r="F5">
        <v>36</v>
      </c>
      <c r="G5">
        <v>100</v>
      </c>
      <c r="H5">
        <v>3600</v>
      </c>
    </row>
    <row r="6" spans="1:8">
      <c r="A6" s="17">
        <v>45710</v>
      </c>
      <c r="B6" t="s">
        <v>8</v>
      </c>
      <c r="C6" t="s">
        <v>18</v>
      </c>
      <c r="D6" t="s">
        <v>12</v>
      </c>
      <c r="E6" t="s">
        <v>19</v>
      </c>
      <c r="F6">
        <v>12</v>
      </c>
      <c r="G6">
        <v>11</v>
      </c>
      <c r="H6">
        <v>132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1"/>
  <sheetViews>
    <sheetView workbookViewId="0">
      <selection activeCell="F20" sqref="F20"/>
    </sheetView>
  </sheetViews>
  <sheetFormatPr defaultColWidth="9" defaultRowHeight="15"/>
  <cols>
    <col min="1" max="1" width="15.4285714285714"/>
    <col min="2" max="2" width="16"/>
    <col min="3" max="3" width="14.8571428571429" customWidth="1"/>
    <col min="4" max="4" width="13.5714285714286"/>
    <col min="5" max="5" width="19.1428571428571"/>
    <col min="6" max="6" width="7.71428571428571" customWidth="1"/>
    <col min="7" max="7" width="13.5714285714286"/>
    <col min="8" max="8" width="16"/>
    <col min="9" max="9" width="7.71428571428571" customWidth="1"/>
    <col min="10" max="10" width="13.5714285714286"/>
    <col min="11" max="11" width="16"/>
    <col min="12" max="21" width="7.71428571428571" customWidth="1"/>
    <col min="22" max="29" width="8.71428571428571" customWidth="1"/>
    <col min="30" max="30" width="12.4285714285714" customWidth="1"/>
  </cols>
  <sheetData>
    <row r="3" spans="1:11">
      <c r="A3" t="s">
        <v>20</v>
      </c>
      <c r="B3" t="s">
        <v>21</v>
      </c>
      <c r="D3" t="s">
        <v>20</v>
      </c>
      <c r="E3" t="s">
        <v>22</v>
      </c>
      <c r="G3" t="s">
        <v>20</v>
      </c>
      <c r="H3" t="s">
        <v>21</v>
      </c>
      <c r="J3" t="s">
        <v>20</v>
      </c>
      <c r="K3" t="s">
        <v>21</v>
      </c>
    </row>
    <row r="4" spans="1:11">
      <c r="A4" s="15" t="s">
        <v>8</v>
      </c>
      <c r="B4" s="16">
        <v>230</v>
      </c>
      <c r="D4" s="15" t="s">
        <v>23</v>
      </c>
      <c r="E4">
        <v>14</v>
      </c>
      <c r="G4" s="15" t="s">
        <v>24</v>
      </c>
      <c r="H4" s="16">
        <v>636</v>
      </c>
      <c r="J4" s="15" t="s">
        <v>16</v>
      </c>
      <c r="K4">
        <v>3679</v>
      </c>
    </row>
    <row r="5" spans="1:11">
      <c r="A5" s="15" t="s">
        <v>25</v>
      </c>
      <c r="B5" s="16">
        <v>336</v>
      </c>
      <c r="D5" s="15" t="s">
        <v>26</v>
      </c>
      <c r="E5">
        <v>26</v>
      </c>
      <c r="G5" s="15" t="s">
        <v>27</v>
      </c>
      <c r="H5" s="16">
        <v>23</v>
      </c>
      <c r="J5" s="15" t="s">
        <v>12</v>
      </c>
      <c r="K5">
        <v>7464</v>
      </c>
    </row>
    <row r="6" spans="1:11">
      <c r="A6" s="15" t="s">
        <v>28</v>
      </c>
      <c r="B6" s="16">
        <v>907</v>
      </c>
      <c r="D6" s="15" t="s">
        <v>29</v>
      </c>
      <c r="E6">
        <v>25</v>
      </c>
      <c r="G6" s="15" t="s">
        <v>30</v>
      </c>
      <c r="H6" s="16">
        <v>7128</v>
      </c>
      <c r="J6" s="15" t="s">
        <v>14</v>
      </c>
      <c r="K6">
        <v>530</v>
      </c>
    </row>
    <row r="7" spans="1:11">
      <c r="A7" s="15" t="s">
        <v>31</v>
      </c>
      <c r="B7" s="16">
        <v>10223</v>
      </c>
      <c r="D7" s="15" t="s">
        <v>32</v>
      </c>
      <c r="E7">
        <v>1</v>
      </c>
      <c r="G7" s="15" t="s">
        <v>33</v>
      </c>
      <c r="H7" s="16">
        <v>230</v>
      </c>
      <c r="J7" s="15" t="s">
        <v>10</v>
      </c>
      <c r="K7">
        <v>23</v>
      </c>
    </row>
    <row r="8" spans="1:11">
      <c r="A8" s="15" t="s">
        <v>34</v>
      </c>
      <c r="B8" s="16">
        <v>11696</v>
      </c>
      <c r="D8" s="15" t="s">
        <v>13</v>
      </c>
      <c r="E8">
        <v>5</v>
      </c>
      <c r="G8" s="15" t="s">
        <v>35</v>
      </c>
      <c r="H8" s="16">
        <v>884</v>
      </c>
      <c r="J8" s="15" t="s">
        <v>34</v>
      </c>
      <c r="K8">
        <v>11696</v>
      </c>
    </row>
    <row r="9" spans="4:8">
      <c r="D9" s="15" t="s">
        <v>36</v>
      </c>
      <c r="E9">
        <v>43</v>
      </c>
      <c r="G9" s="15" t="s">
        <v>37</v>
      </c>
      <c r="H9" s="16">
        <v>2795</v>
      </c>
    </row>
    <row r="10" spans="4:8">
      <c r="D10" s="15" t="s">
        <v>38</v>
      </c>
      <c r="E10">
        <v>54</v>
      </c>
      <c r="G10" s="15" t="s">
        <v>34</v>
      </c>
      <c r="H10" s="16">
        <v>11696</v>
      </c>
    </row>
    <row r="11" spans="4:5">
      <c r="D11" s="15" t="s">
        <v>34</v>
      </c>
      <c r="E11">
        <v>168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F22" sqref="F22"/>
    </sheetView>
  </sheetViews>
  <sheetFormatPr defaultColWidth="9" defaultRowHeight="15" outlineLevelCol="7"/>
  <cols>
    <col min="1" max="1" width="10.7142857142857" customWidth="1"/>
    <col min="2" max="2" width="14.4285714285714" customWidth="1"/>
    <col min="3" max="3" width="11.1428571428571" customWidth="1"/>
    <col min="4" max="4" width="11.5714285714286" customWidth="1"/>
    <col min="5" max="5" width="11.8571428571429" customWidth="1"/>
    <col min="6" max="6" width="13" customWidth="1"/>
    <col min="7" max="7" width="9.71428571428571" customWidth="1"/>
    <col min="8" max="8" width="11.1428571428571" style="1" customWidth="1"/>
  </cols>
  <sheetData>
    <row r="1" ht="16.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4"/>
    </row>
    <row r="2" ht="16.5" spans="1:8">
      <c r="A2" s="5">
        <f>DATE(2025,1,1)</f>
        <v>45658</v>
      </c>
      <c r="B2" s="6" t="s">
        <v>28</v>
      </c>
      <c r="C2" s="6" t="s">
        <v>26</v>
      </c>
      <c r="D2" s="6" t="s">
        <v>16</v>
      </c>
      <c r="E2" s="6" t="s">
        <v>17</v>
      </c>
      <c r="F2" s="7">
        <v>10</v>
      </c>
      <c r="G2" s="8">
        <v>25</v>
      </c>
      <c r="H2" s="9">
        <f>PRODUCT(F2,G2)</f>
        <v>250</v>
      </c>
    </row>
    <row r="3" ht="16.5" spans="1:8">
      <c r="A3" s="5">
        <f>DATE(2025,1,5)</f>
        <v>45662</v>
      </c>
      <c r="B3" s="6" t="s">
        <v>31</v>
      </c>
      <c r="C3" s="6" t="s">
        <v>29</v>
      </c>
      <c r="D3" s="6" t="s">
        <v>14</v>
      </c>
      <c r="E3" s="6" t="s">
        <v>15</v>
      </c>
      <c r="F3" s="7">
        <v>25</v>
      </c>
      <c r="G3" s="8">
        <v>12</v>
      </c>
      <c r="H3" s="9">
        <f>PRODUCT(F3:G3)</f>
        <v>300</v>
      </c>
    </row>
    <row r="4" ht="16.5" spans="1:8">
      <c r="A4" s="5">
        <f>DATE(2025,1,15)</f>
        <v>45672</v>
      </c>
      <c r="B4" s="6" t="s">
        <v>31</v>
      </c>
      <c r="C4" s="6" t="s">
        <v>13</v>
      </c>
      <c r="D4" s="6" t="s">
        <v>10</v>
      </c>
      <c r="E4" s="6" t="s">
        <v>17</v>
      </c>
      <c r="F4" s="7">
        <v>35</v>
      </c>
      <c r="G4" s="8">
        <v>13</v>
      </c>
      <c r="H4" s="9">
        <f t="shared" ref="H4:H31" si="0">PRODUCT(F4:G4)</f>
        <v>455</v>
      </c>
    </row>
    <row r="5" ht="16.5" spans="1:8">
      <c r="A5" s="5">
        <f>DATE(2025,1,30)</f>
        <v>45687</v>
      </c>
      <c r="B5" s="6" t="s">
        <v>25</v>
      </c>
      <c r="C5" s="6" t="s">
        <v>23</v>
      </c>
      <c r="D5" s="6" t="s">
        <v>12</v>
      </c>
      <c r="E5" s="6" t="s">
        <v>15</v>
      </c>
      <c r="F5" s="7">
        <v>14</v>
      </c>
      <c r="G5" s="8">
        <v>24</v>
      </c>
      <c r="H5" s="9">
        <f t="shared" si="0"/>
        <v>336</v>
      </c>
    </row>
    <row r="6" ht="16.5" spans="1:8">
      <c r="A6" s="5">
        <f>DATE(2025,2,2)</f>
        <v>45690</v>
      </c>
      <c r="B6" s="6" t="s">
        <v>28</v>
      </c>
      <c r="C6" s="6" t="s">
        <v>39</v>
      </c>
      <c r="D6" s="6" t="s">
        <v>14</v>
      </c>
      <c r="E6" s="6" t="s">
        <v>11</v>
      </c>
      <c r="F6" s="7">
        <v>13</v>
      </c>
      <c r="G6" s="8">
        <v>42</v>
      </c>
      <c r="H6" s="9">
        <f t="shared" si="0"/>
        <v>546</v>
      </c>
    </row>
    <row r="7" ht="16.5" spans="1:8">
      <c r="A7" s="5">
        <f>DATE(2025,2,5)</f>
        <v>45693</v>
      </c>
      <c r="B7" s="6" t="s">
        <v>31</v>
      </c>
      <c r="C7" s="6" t="s">
        <v>40</v>
      </c>
      <c r="D7" s="6" t="s">
        <v>16</v>
      </c>
      <c r="E7" s="6" t="s">
        <v>11</v>
      </c>
      <c r="F7" s="7">
        <v>24</v>
      </c>
      <c r="G7" s="8">
        <v>56</v>
      </c>
      <c r="H7" s="9">
        <f t="shared" si="0"/>
        <v>1344</v>
      </c>
    </row>
    <row r="8" ht="16.5" spans="1:8">
      <c r="A8" s="5">
        <v>45710</v>
      </c>
      <c r="B8" s="6" t="s">
        <v>8</v>
      </c>
      <c r="C8" s="6" t="s">
        <v>18</v>
      </c>
      <c r="D8" s="6" t="s">
        <v>12</v>
      </c>
      <c r="E8" s="6" t="s">
        <v>19</v>
      </c>
      <c r="F8" s="7">
        <v>12</v>
      </c>
      <c r="G8" s="8">
        <v>11</v>
      </c>
      <c r="H8" s="9">
        <f t="shared" si="0"/>
        <v>132</v>
      </c>
    </row>
    <row r="9" ht="16.5" spans="1:8">
      <c r="A9" s="5">
        <f>DATE(2025,2,28)</f>
        <v>45716</v>
      </c>
      <c r="B9" s="6" t="s">
        <v>41</v>
      </c>
      <c r="C9" s="6" t="s">
        <v>42</v>
      </c>
      <c r="D9" s="6" t="s">
        <v>14</v>
      </c>
      <c r="E9" s="6" t="s">
        <v>17</v>
      </c>
      <c r="F9" s="7">
        <v>2</v>
      </c>
      <c r="G9" s="8">
        <v>18</v>
      </c>
      <c r="H9" s="9">
        <f t="shared" si="0"/>
        <v>36</v>
      </c>
    </row>
    <row r="10" ht="16.5" spans="1:8">
      <c r="A10" s="5">
        <f>DATE(2025,3,5)</f>
        <v>45721</v>
      </c>
      <c r="B10" s="6" t="s">
        <v>28</v>
      </c>
      <c r="C10" s="6" t="s">
        <v>32</v>
      </c>
      <c r="D10" s="6" t="s">
        <v>10</v>
      </c>
      <c r="E10" s="6" t="s">
        <v>15</v>
      </c>
      <c r="F10" s="7">
        <v>1</v>
      </c>
      <c r="G10" s="8">
        <v>23</v>
      </c>
      <c r="H10" s="9">
        <f t="shared" si="0"/>
        <v>23</v>
      </c>
    </row>
    <row r="11" ht="16.5" spans="1:8">
      <c r="A11" s="5">
        <f>DATE(2025,3,27)</f>
        <v>45743</v>
      </c>
      <c r="B11" s="6" t="s">
        <v>25</v>
      </c>
      <c r="C11" s="6" t="s">
        <v>23</v>
      </c>
      <c r="D11" s="6" t="s">
        <v>16</v>
      </c>
      <c r="E11" s="6" t="s">
        <v>19</v>
      </c>
      <c r="F11" s="7">
        <v>13</v>
      </c>
      <c r="G11" s="8">
        <v>45</v>
      </c>
      <c r="H11" s="9">
        <f t="shared" si="0"/>
        <v>585</v>
      </c>
    </row>
    <row r="12" ht="16.5" spans="1:8">
      <c r="A12" s="5">
        <f>DATE(2025,4,12)</f>
        <v>45759</v>
      </c>
      <c r="B12" s="6" t="s">
        <v>31</v>
      </c>
      <c r="C12" s="6" t="s">
        <v>18</v>
      </c>
      <c r="D12" s="6" t="s">
        <v>12</v>
      </c>
      <c r="E12" s="6" t="s">
        <v>19</v>
      </c>
      <c r="F12" s="7">
        <v>15</v>
      </c>
      <c r="G12" s="8">
        <v>20</v>
      </c>
      <c r="H12" s="9">
        <f t="shared" si="0"/>
        <v>300</v>
      </c>
    </row>
    <row r="13" ht="16.5" spans="1:8">
      <c r="A13" s="5">
        <f>DATE(2025,5,5)</f>
        <v>45782</v>
      </c>
      <c r="B13" s="6" t="s">
        <v>28</v>
      </c>
      <c r="C13" s="6" t="s">
        <v>26</v>
      </c>
      <c r="D13" s="6" t="s">
        <v>14</v>
      </c>
      <c r="E13" s="6" t="s">
        <v>11</v>
      </c>
      <c r="F13" s="7">
        <v>19</v>
      </c>
      <c r="G13" s="8">
        <v>75</v>
      </c>
      <c r="H13" s="9">
        <f t="shared" si="0"/>
        <v>1425</v>
      </c>
    </row>
    <row r="14" ht="16.5" spans="1:8">
      <c r="A14" s="5">
        <f>DATE(2025,5,15)</f>
        <v>45792</v>
      </c>
      <c r="B14" s="6" t="s">
        <v>8</v>
      </c>
      <c r="C14" s="6" t="s">
        <v>13</v>
      </c>
      <c r="D14" s="6" t="s">
        <v>16</v>
      </c>
      <c r="E14" s="6" t="s">
        <v>17</v>
      </c>
      <c r="F14" s="7">
        <v>36</v>
      </c>
      <c r="G14" s="8">
        <v>100</v>
      </c>
      <c r="H14" s="9">
        <f t="shared" si="0"/>
        <v>3600</v>
      </c>
    </row>
    <row r="15" ht="16.5" spans="1:8">
      <c r="A15" s="5">
        <f>DATE(2025,6,11)</f>
        <v>45819</v>
      </c>
      <c r="B15" s="6" t="s">
        <v>31</v>
      </c>
      <c r="C15" s="6" t="s">
        <v>38</v>
      </c>
      <c r="D15" s="6" t="s">
        <v>12</v>
      </c>
      <c r="E15" s="6" t="s">
        <v>15</v>
      </c>
      <c r="F15" s="7">
        <v>54</v>
      </c>
      <c r="G15" s="8">
        <v>132</v>
      </c>
      <c r="H15" s="9">
        <f t="shared" si="0"/>
        <v>7128</v>
      </c>
    </row>
    <row r="16" ht="16.5" spans="1:8">
      <c r="A16" s="5">
        <f>DATE(2025,6,15)</f>
        <v>45823</v>
      </c>
      <c r="B16" s="6" t="s">
        <v>41</v>
      </c>
      <c r="C16" s="6" t="s">
        <v>43</v>
      </c>
      <c r="D16" s="6" t="s">
        <v>10</v>
      </c>
      <c r="E16" s="6" t="s">
        <v>19</v>
      </c>
      <c r="F16" s="7">
        <v>38</v>
      </c>
      <c r="G16" s="8">
        <v>137</v>
      </c>
      <c r="H16" s="9">
        <f t="shared" si="0"/>
        <v>5206</v>
      </c>
    </row>
    <row r="17" ht="16.5" spans="1:8">
      <c r="A17" s="5">
        <f>DATE(2025,7,1)</f>
        <v>45839</v>
      </c>
      <c r="B17" s="6" t="s">
        <v>28</v>
      </c>
      <c r="C17" s="6" t="s">
        <v>44</v>
      </c>
      <c r="D17" s="6" t="s">
        <v>14</v>
      </c>
      <c r="E17" s="6" t="s">
        <v>19</v>
      </c>
      <c r="F17" s="7">
        <v>22</v>
      </c>
      <c r="G17" s="8">
        <v>154</v>
      </c>
      <c r="H17" s="9">
        <f t="shared" si="0"/>
        <v>3388</v>
      </c>
    </row>
    <row r="18" ht="16.5" spans="1:8">
      <c r="A18" s="5">
        <f>DATE(2025,7,25)</f>
        <v>45863</v>
      </c>
      <c r="B18" s="6" t="s">
        <v>28</v>
      </c>
      <c r="C18" s="6" t="s">
        <v>44</v>
      </c>
      <c r="D18" s="6" t="s">
        <v>16</v>
      </c>
      <c r="E18" s="6" t="s">
        <v>11</v>
      </c>
      <c r="F18" s="7">
        <v>32</v>
      </c>
      <c r="G18" s="8">
        <v>170</v>
      </c>
      <c r="H18" s="9">
        <f t="shared" si="0"/>
        <v>5440</v>
      </c>
    </row>
    <row r="19" ht="16.5" spans="1:8">
      <c r="A19" s="5">
        <f>DATE(2025,8,A185)</f>
        <v>45869</v>
      </c>
      <c r="B19" s="6" t="s">
        <v>31</v>
      </c>
      <c r="C19" s="6" t="s">
        <v>45</v>
      </c>
      <c r="D19" s="6" t="s">
        <v>14</v>
      </c>
      <c r="E19" s="6" t="s">
        <v>19</v>
      </c>
      <c r="F19" s="7">
        <v>11</v>
      </c>
      <c r="G19" s="8">
        <v>36</v>
      </c>
      <c r="H19" s="9">
        <f t="shared" si="0"/>
        <v>396</v>
      </c>
    </row>
    <row r="20" ht="16.5" spans="1:8">
      <c r="A20" s="5">
        <f>DATE(2025,8,5)</f>
        <v>45874</v>
      </c>
      <c r="B20" s="6" t="s">
        <v>25</v>
      </c>
      <c r="C20" s="6" t="s">
        <v>23</v>
      </c>
      <c r="D20" s="6" t="s">
        <v>10</v>
      </c>
      <c r="E20" s="6" t="s">
        <v>17</v>
      </c>
      <c r="F20" s="7">
        <v>9</v>
      </c>
      <c r="G20" s="8">
        <v>90</v>
      </c>
      <c r="H20" s="9">
        <f t="shared" si="0"/>
        <v>810</v>
      </c>
    </row>
    <row r="21" ht="16.5" spans="1:8">
      <c r="A21" s="5">
        <f>DATE(2025,9,15)</f>
        <v>45915</v>
      </c>
      <c r="B21" s="6" t="s">
        <v>8</v>
      </c>
      <c r="C21" s="6" t="s">
        <v>13</v>
      </c>
      <c r="D21" s="6" t="s">
        <v>14</v>
      </c>
      <c r="E21" s="6" t="s">
        <v>15</v>
      </c>
      <c r="F21" s="7">
        <v>5</v>
      </c>
      <c r="G21" s="8">
        <v>46</v>
      </c>
      <c r="H21" s="9">
        <f t="shared" si="0"/>
        <v>230</v>
      </c>
    </row>
    <row r="22" ht="16.5" spans="1:8">
      <c r="A22" s="5">
        <f>DATE(2025,9,25)</f>
        <v>45925</v>
      </c>
      <c r="B22" s="6" t="s">
        <v>41</v>
      </c>
      <c r="C22" s="6" t="s">
        <v>43</v>
      </c>
      <c r="D22" s="6" t="s">
        <v>12</v>
      </c>
      <c r="E22" s="6" t="s">
        <v>19</v>
      </c>
      <c r="F22" s="7">
        <v>18</v>
      </c>
      <c r="G22" s="8">
        <v>110</v>
      </c>
      <c r="H22" s="9">
        <f t="shared" si="0"/>
        <v>1980</v>
      </c>
    </row>
    <row r="23" ht="16.5" spans="1:8">
      <c r="A23" s="5">
        <f>DATE(2025,10,5)</f>
        <v>45935</v>
      </c>
      <c r="B23" s="6" t="s">
        <v>8</v>
      </c>
      <c r="C23" s="6" t="s">
        <v>9</v>
      </c>
      <c r="D23" s="6" t="s">
        <v>12</v>
      </c>
      <c r="E23" s="6" t="s">
        <v>11</v>
      </c>
      <c r="F23" s="7">
        <v>14</v>
      </c>
      <c r="G23" s="8">
        <v>115</v>
      </c>
      <c r="H23" s="9">
        <f t="shared" si="0"/>
        <v>1610</v>
      </c>
    </row>
    <row r="24" ht="16.5" spans="1:8">
      <c r="A24" s="5">
        <f>DATE(2025,10,6)</f>
        <v>45936</v>
      </c>
      <c r="B24" s="6" t="s">
        <v>25</v>
      </c>
      <c r="C24" s="6" t="s">
        <v>23</v>
      </c>
      <c r="D24" s="6" t="s">
        <v>10</v>
      </c>
      <c r="E24" s="6" t="s">
        <v>19</v>
      </c>
      <c r="F24" s="7">
        <v>16</v>
      </c>
      <c r="G24" s="8">
        <v>165</v>
      </c>
      <c r="H24" s="9">
        <f t="shared" si="0"/>
        <v>2640</v>
      </c>
    </row>
    <row r="25" ht="16.5" spans="1:8">
      <c r="A25" s="5">
        <f>DATE(2025,11,2)</f>
        <v>45963</v>
      </c>
      <c r="B25" s="6" t="s">
        <v>28</v>
      </c>
      <c r="C25" s="6" t="s">
        <v>26</v>
      </c>
      <c r="D25" s="6" t="s">
        <v>16</v>
      </c>
      <c r="E25" s="6" t="s">
        <v>15</v>
      </c>
      <c r="F25" s="7">
        <v>26</v>
      </c>
      <c r="G25" s="8">
        <v>34</v>
      </c>
      <c r="H25" s="9">
        <f t="shared" si="0"/>
        <v>884</v>
      </c>
    </row>
    <row r="26" ht="16.5" spans="1:8">
      <c r="A26" s="5">
        <f>DATE(2025,11,4)</f>
        <v>45965</v>
      </c>
      <c r="B26" s="6" t="s">
        <v>25</v>
      </c>
      <c r="C26" s="6" t="s">
        <v>23</v>
      </c>
      <c r="D26" s="6" t="s">
        <v>14</v>
      </c>
      <c r="E26" s="6" t="s">
        <v>17</v>
      </c>
      <c r="F26" s="7">
        <v>39</v>
      </c>
      <c r="G26" s="8">
        <v>76</v>
      </c>
      <c r="H26" s="9">
        <f t="shared" si="0"/>
        <v>2964</v>
      </c>
    </row>
    <row r="27" ht="16.5" spans="1:8">
      <c r="A27" s="5">
        <f>DATE(2025,11,16)</f>
        <v>45977</v>
      </c>
      <c r="B27" s="6" t="s">
        <v>31</v>
      </c>
      <c r="C27" s="6" t="s">
        <v>9</v>
      </c>
      <c r="D27" s="6" t="s">
        <v>14</v>
      </c>
      <c r="E27" s="6" t="s">
        <v>19</v>
      </c>
      <c r="F27" s="7">
        <v>45</v>
      </c>
      <c r="G27" s="8">
        <v>56</v>
      </c>
      <c r="H27" s="9">
        <f t="shared" si="0"/>
        <v>2520</v>
      </c>
    </row>
    <row r="28" ht="16.5" spans="1:8">
      <c r="A28" s="5">
        <f>DATE(2025,12,5)</f>
        <v>45996</v>
      </c>
      <c r="B28" s="6" t="s">
        <v>8</v>
      </c>
      <c r="C28" s="6" t="s">
        <v>9</v>
      </c>
      <c r="D28" s="6" t="s">
        <v>10</v>
      </c>
      <c r="E28" s="6" t="s">
        <v>11</v>
      </c>
      <c r="F28" s="7">
        <v>70</v>
      </c>
      <c r="G28" s="8">
        <v>87</v>
      </c>
      <c r="H28" s="9">
        <f t="shared" si="0"/>
        <v>6090</v>
      </c>
    </row>
    <row r="29" ht="16.5" spans="1:8">
      <c r="A29" s="5">
        <f>DATE(2025,12,8)</f>
        <v>45999</v>
      </c>
      <c r="B29" s="6" t="s">
        <v>25</v>
      </c>
      <c r="C29" s="6" t="s">
        <v>23</v>
      </c>
      <c r="D29" s="6" t="s">
        <v>12</v>
      </c>
      <c r="E29" s="6" t="s">
        <v>11</v>
      </c>
      <c r="F29" s="7">
        <v>65</v>
      </c>
      <c r="G29" s="8">
        <v>76</v>
      </c>
      <c r="H29" s="9">
        <f t="shared" si="0"/>
        <v>4940</v>
      </c>
    </row>
    <row r="30" ht="16.5" spans="1:8">
      <c r="A30" s="5">
        <f>DATE(2025,12,19)</f>
        <v>46010</v>
      </c>
      <c r="B30" s="6" t="s">
        <v>31</v>
      </c>
      <c r="C30" s="6" t="s">
        <v>36</v>
      </c>
      <c r="D30" s="6" t="s">
        <v>16</v>
      </c>
      <c r="E30" s="6" t="s">
        <v>15</v>
      </c>
      <c r="F30" s="7">
        <v>43</v>
      </c>
      <c r="G30" s="8">
        <v>65</v>
      </c>
      <c r="H30" s="9">
        <f t="shared" si="0"/>
        <v>2795</v>
      </c>
    </row>
    <row r="31" ht="16.5" spans="1:8">
      <c r="A31" s="10">
        <f>DATE(2025,12,31)</f>
        <v>46022</v>
      </c>
      <c r="B31" s="11" t="s">
        <v>28</v>
      </c>
      <c r="C31" s="11" t="s">
        <v>39</v>
      </c>
      <c r="D31" s="11" t="s">
        <v>12</v>
      </c>
      <c r="E31" s="11" t="s">
        <v>17</v>
      </c>
      <c r="F31" s="12">
        <v>6</v>
      </c>
      <c r="G31" s="13">
        <v>58</v>
      </c>
      <c r="H31" s="14">
        <f t="shared" si="0"/>
        <v>348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90" zoomScaleNormal="90" workbookViewId="0">
      <selection activeCell="C19" sqref="C18:C19"/>
    </sheetView>
  </sheetViews>
  <sheetFormatPr defaultColWidth="9" defaultRowHeight="1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Sheet5</vt:lpstr>
      <vt:lpstr>Pivot Table</vt:lpstr>
      <vt:lpstr>Data 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2025-09-27T07:45:00Z</dcterms:created>
  <dcterms:modified xsi:type="dcterms:W3CDTF">2025-09-27T11:22:54Z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50B98BBF94F8470EBBF799DAEAACFB10_12</vt:lpwstr>
  </property>
  <property fmtid="{D5CDD505-2E9C-101B-9397-08002B2CF9AE}" pid="3" name="KSOProductBuildVer">
    <vt:lpwstr>1033-12.2.0.22222</vt:lpwstr>
  </property>
</Properties>
</file>