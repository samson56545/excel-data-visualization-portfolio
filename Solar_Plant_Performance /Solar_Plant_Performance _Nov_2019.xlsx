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05" activeTab="1"/>
  </bookViews>
  <sheets>
    <sheet name="Raw Data" sheetId="1" r:id="rId1"/>
    <sheet name="Analysis" sheetId="2" r:id="rId2"/>
    <sheet name="Monthly Performance Report" sheetId="3" r:id="rId3"/>
  </sheets>
  <calcPr calcId="144525"/>
  <fileRecoveryPr repairLoad="1"/>
</workbook>
</file>

<file path=xl/calcChain.xml><?xml version="1.0" encoding="utf-8"?>
<calcChain xmlns="http://schemas.openxmlformats.org/spreadsheetml/2006/main">
  <c r="E4" i="3" l="1"/>
  <c r="D4" i="3"/>
  <c r="C4" i="3"/>
  <c r="B4" i="3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44" i="2"/>
  <c r="C45" i="2"/>
  <c r="C43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47" i="2"/>
  <c r="B48" i="2"/>
  <c r="B49" i="2"/>
  <c r="B44" i="2"/>
  <c r="B45" i="2"/>
  <c r="B46" i="2"/>
  <c r="B43" i="2"/>
  <c r="B8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43" i="2"/>
  <c r="B7" i="2"/>
  <c r="B6" i="2"/>
  <c r="B5" i="2"/>
  <c r="B4" i="2"/>
  <c r="B3" i="2"/>
  <c r="G32" i="1"/>
</calcChain>
</file>

<file path=xl/comments1.xml><?xml version="1.0" encoding="utf-8"?>
<comments xmlns="http://schemas.openxmlformats.org/spreadsheetml/2006/main">
  <authors>
    <author>user</author>
  </authors>
  <commentList>
    <comment ref="B1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Ambient Temparature  </t>
        </r>
        <r>
          <rPr>
            <sz val="9"/>
            <color indexed="81"/>
            <rFont val="Calibri"/>
            <family val="2"/>
          </rPr>
          <t>̊C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Wind Speed m/s</t>
        </r>
      </text>
    </comment>
    <comment ref="D1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Relative Humidity %</t>
        </r>
      </text>
    </comment>
    <comment ref="E1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Barometric Pressure hPa</t>
        </r>
      </text>
    </comment>
    <comment ref="F1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Solar Radiation W/m^2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A42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Identifies underperforming days</t>
        </r>
      </text>
    </comment>
    <comment ref="B42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Calibri"/>
            <family val="2"/>
          </rPr>
          <t>≈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Calibri"/>
            <family val="2"/>
          </rPr>
          <t>→</t>
        </r>
        <r>
          <rPr>
            <sz val="9"/>
            <color indexed="81"/>
            <rFont val="Tahoma"/>
            <family val="2"/>
          </rPr>
          <t xml:space="preserve"> normal
&lt;0.9 → losses
&gt;1 → excellent day</t>
        </r>
      </text>
    </comment>
    <comment ref="C42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This tells you:
When to inspect the panels.
When to check inverters
when to schedule cleaning</t>
        </r>
      </text>
    </comment>
  </commentList>
</comments>
</file>

<file path=xl/sharedStrings.xml><?xml version="1.0" encoding="utf-8"?>
<sst xmlns="http://schemas.openxmlformats.org/spreadsheetml/2006/main" count="24" uniqueCount="22">
  <si>
    <t>Date</t>
  </si>
  <si>
    <t>AT</t>
  </si>
  <si>
    <t>WS</t>
  </si>
  <si>
    <t>RH</t>
  </si>
  <si>
    <t>BP</t>
  </si>
  <si>
    <t>SR</t>
  </si>
  <si>
    <t>Energy (kwh)</t>
  </si>
  <si>
    <t>KPI</t>
  </si>
  <si>
    <t>Total Energy (kWh)</t>
  </si>
  <si>
    <t>Average Daily Energy</t>
  </si>
  <si>
    <t>Max Daily Energy</t>
  </si>
  <si>
    <t>Min Daily Energy</t>
  </si>
  <si>
    <t>Enegy STD Deviation</t>
  </si>
  <si>
    <t xml:space="preserve">Value </t>
  </si>
  <si>
    <t>Normalized Performance Metrics</t>
  </si>
  <si>
    <t>Energy per Radiation</t>
  </si>
  <si>
    <t>Daily Performance Index</t>
  </si>
  <si>
    <t>Average SR</t>
  </si>
  <si>
    <t>Performance Flag</t>
  </si>
  <si>
    <t>Solar Power Plant Performance Dashboard</t>
  </si>
  <si>
    <t>Best Day Output(kWh)</t>
  </si>
  <si>
    <t>Worst Day Output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</si>
</sst>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12">
    <font>
      <sz val="11"/>
      <color theme="1"/>
      <name val="Calibri"/>
      <family val="2"/>
      <charset val="1"/>
      <scheme val="minor"/>
    </font>
    <font>
      <sz val="11"/>
      <color indexed="8"/>
      <name val="Calibri"/>
      <charset val="134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NumberFormat="1" applyFont="1" applyFill="1" applyBorder="1" applyAlignment="1" applyProtection="1">
      <alignment vertical="center"/>
    </xf>
    <xf numFmtId="14" fontId="1" fillId="0" borderId="2" xfId="0" applyNumberFormat="1" applyFont="1" applyFill="1" applyBorder="1" applyAlignment="1" applyProtection="1">
      <alignment horizontal="left" vertical="top"/>
    </xf>
    <xf numFmtId="0" fontId="1" fillId="0" borderId="3" xfId="0" applyNumberFormat="1" applyFont="1" applyFill="1" applyBorder="1" applyAlignment="1" applyProtection="1">
      <alignment vertical="center"/>
    </xf>
    <xf numFmtId="0" fontId="2" fillId="0" borderId="4" xfId="0" applyNumberFormat="1" applyFont="1" applyFill="1" applyBorder="1" applyAlignment="1" applyProtection="1">
      <alignment vertical="center"/>
    </xf>
    <xf numFmtId="0" fontId="2" fillId="0" borderId="5" xfId="0" applyNumberFormat="1" applyFont="1" applyFill="1" applyBorder="1" applyAlignment="1" applyProtection="1">
      <alignment vertical="center"/>
    </xf>
    <xf numFmtId="0" fontId="2" fillId="0" borderId="6" xfId="0" applyNumberFormat="1" applyFont="1" applyFill="1" applyBorder="1" applyAlignment="1" applyProtection="1">
      <alignment vertical="center"/>
    </xf>
    <xf numFmtId="0" fontId="1" fillId="0" borderId="8" xfId="0" applyNumberFormat="1" applyFont="1" applyFill="1" applyBorder="1" applyAlignment="1" applyProtection="1">
      <alignment vertical="center"/>
    </xf>
    <xf numFmtId="0" fontId="1" fillId="0" borderId="9" xfId="0" applyNumberFormat="1" applyFont="1" applyFill="1" applyBorder="1" applyAlignment="1" applyProtection="1">
      <alignment vertical="center"/>
    </xf>
    <xf numFmtId="0" fontId="0" fillId="0" borderId="10" xfId="0" applyBorder="1"/>
    <xf numFmtId="0" fontId="0" fillId="0" borderId="11" xfId="0" applyBorder="1"/>
    <xf numFmtId="0" fontId="3" fillId="0" borderId="7" xfId="0" applyNumberFormat="1" applyFont="1" applyFill="1" applyBorder="1" applyAlignment="1" applyProtection="1">
      <alignment vertical="center"/>
    </xf>
    <xf numFmtId="0" fontId="3" fillId="0" borderId="8" xfId="0" applyNumberFormat="1" applyFont="1" applyFill="1" applyBorder="1" applyAlignment="1" applyProtection="1">
      <alignment vertical="center"/>
    </xf>
    <xf numFmtId="0" fontId="3" fillId="0" borderId="9" xfId="0" applyNumberFormat="1" applyFont="1" applyFill="1" applyBorder="1" applyAlignment="1" applyProtection="1">
      <alignment vertical="center"/>
    </xf>
    <xf numFmtId="0" fontId="8" fillId="0" borderId="0" xfId="0" applyFont="1"/>
    <xf numFmtId="0" fontId="9" fillId="0" borderId="0" xfId="0" applyFont="1"/>
    <xf numFmtId="0" fontId="9" fillId="0" borderId="11" xfId="0" applyFont="1" applyBorder="1"/>
    <xf numFmtId="0" fontId="8" fillId="0" borderId="4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0" fontId="11" fillId="0" borderId="0" xfId="0" applyFont="1" applyAlignment="1">
      <alignment horizontal="center"/>
    </xf>
    <xf numFmtId="0" fontId="11" fillId="0" borderId="0" xfId="0" applyFont="1" applyAlignment="1"/>
    <xf numFmtId="164" fontId="0" fillId="0" borderId="10" xfId="0" applyNumberFormat="1" applyBorder="1"/>
    <xf numFmtId="0" fontId="8" fillId="0" borderId="4" xfId="0" applyFont="1" applyBorder="1"/>
    <xf numFmtId="0" fontId="8" fillId="0" borderId="5" xfId="0" applyFont="1" applyBorder="1"/>
    <xf numFmtId="0" fontId="8" fillId="0" borderId="6" xfId="0" applyFont="1" applyBorder="1"/>
    <xf numFmtId="0" fontId="7" fillId="0" borderId="7" xfId="0" applyFont="1" applyBorder="1"/>
    <xf numFmtId="164" fontId="7" fillId="0" borderId="8" xfId="0" applyNumberFormat="1" applyFont="1" applyBorder="1"/>
    <xf numFmtId="0" fontId="7" fillId="0" borderId="8" xfId="0" applyFont="1" applyBorder="1"/>
    <xf numFmtId="0" fontId="7" fillId="0" borderId="9" xfId="0" applyFont="1" applyBorder="1"/>
    <xf numFmtId="0" fontId="10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3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aj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ajor"/>
      </font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protection locked="1" hidden="0"/>
    </dxf>
    <dxf>
      <border outline="0">
        <bottom style="thin">
          <color indexed="64"/>
        </bottom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0" defaultTableStyle="TableStyleMedium2" defaultPivotStyle="PivotStyleLight16"/>
  <colors>
    <mruColors>
      <color rgb="FFA6D41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Enegy vs Solar Radiation</c:v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trendline>
            <c:trendlineType val="linear"/>
            <c:dispRSqr val="0"/>
            <c:dispEq val="0"/>
          </c:trendline>
          <c:xVal>
            <c:numRef>
              <c:f>'Raw Data'!$F$2:$F$31</c:f>
              <c:numCache>
                <c:formatCode>General</c:formatCode>
                <c:ptCount val="30"/>
                <c:pt idx="0">
                  <c:v>160.61000000000001</c:v>
                </c:pt>
                <c:pt idx="1">
                  <c:v>147.94</c:v>
                </c:pt>
                <c:pt idx="2">
                  <c:v>143.19</c:v>
                </c:pt>
                <c:pt idx="3">
                  <c:v>170.26</c:v>
                </c:pt>
                <c:pt idx="4">
                  <c:v>161.77000000000001</c:v>
                </c:pt>
                <c:pt idx="5">
                  <c:v>169.23</c:v>
                </c:pt>
                <c:pt idx="6">
                  <c:v>161.03</c:v>
                </c:pt>
                <c:pt idx="7">
                  <c:v>139.9</c:v>
                </c:pt>
                <c:pt idx="8">
                  <c:v>162.02000000000001</c:v>
                </c:pt>
                <c:pt idx="9">
                  <c:v>161.86000000000001</c:v>
                </c:pt>
                <c:pt idx="10">
                  <c:v>169.32</c:v>
                </c:pt>
                <c:pt idx="11">
                  <c:v>165.42</c:v>
                </c:pt>
                <c:pt idx="12">
                  <c:v>166.53</c:v>
                </c:pt>
                <c:pt idx="13">
                  <c:v>163.29</c:v>
                </c:pt>
                <c:pt idx="14">
                  <c:v>162.06</c:v>
                </c:pt>
                <c:pt idx="15">
                  <c:v>158.91</c:v>
                </c:pt>
                <c:pt idx="16">
                  <c:v>168.04</c:v>
                </c:pt>
                <c:pt idx="17">
                  <c:v>162.36000000000001</c:v>
                </c:pt>
                <c:pt idx="18">
                  <c:v>163.9</c:v>
                </c:pt>
                <c:pt idx="19">
                  <c:v>137.21</c:v>
                </c:pt>
                <c:pt idx="20">
                  <c:v>154.41</c:v>
                </c:pt>
                <c:pt idx="21">
                  <c:v>158.08000000000001</c:v>
                </c:pt>
                <c:pt idx="22">
                  <c:v>148.63999999999999</c:v>
                </c:pt>
                <c:pt idx="23">
                  <c:v>155.28</c:v>
                </c:pt>
                <c:pt idx="24">
                  <c:v>145.1</c:v>
                </c:pt>
                <c:pt idx="25">
                  <c:v>160.9</c:v>
                </c:pt>
                <c:pt idx="26">
                  <c:v>145.75</c:v>
                </c:pt>
                <c:pt idx="27">
                  <c:v>149.19</c:v>
                </c:pt>
                <c:pt idx="28">
                  <c:v>137.27000000000001</c:v>
                </c:pt>
                <c:pt idx="29">
                  <c:v>148.84</c:v>
                </c:pt>
              </c:numCache>
            </c:numRef>
          </c:xVal>
          <c:yVal>
            <c:numRef>
              <c:f>'Raw Data'!$G$2:$G$31</c:f>
              <c:numCache>
                <c:formatCode>General</c:formatCode>
                <c:ptCount val="30"/>
                <c:pt idx="0">
                  <c:v>586</c:v>
                </c:pt>
                <c:pt idx="1">
                  <c:v>243</c:v>
                </c:pt>
                <c:pt idx="2">
                  <c:v>464</c:v>
                </c:pt>
                <c:pt idx="3">
                  <c:v>583</c:v>
                </c:pt>
                <c:pt idx="4">
                  <c:v>617</c:v>
                </c:pt>
                <c:pt idx="5">
                  <c:v>636</c:v>
                </c:pt>
                <c:pt idx="6">
                  <c:v>591</c:v>
                </c:pt>
                <c:pt idx="7">
                  <c:v>507</c:v>
                </c:pt>
                <c:pt idx="8">
                  <c:v>593</c:v>
                </c:pt>
                <c:pt idx="9">
                  <c:v>587</c:v>
                </c:pt>
                <c:pt idx="10">
                  <c:v>635</c:v>
                </c:pt>
                <c:pt idx="11">
                  <c:v>602</c:v>
                </c:pt>
                <c:pt idx="12">
                  <c:v>620</c:v>
                </c:pt>
                <c:pt idx="13">
                  <c:v>616</c:v>
                </c:pt>
                <c:pt idx="14">
                  <c:v>609</c:v>
                </c:pt>
                <c:pt idx="15">
                  <c:v>595</c:v>
                </c:pt>
                <c:pt idx="16">
                  <c:v>583</c:v>
                </c:pt>
                <c:pt idx="17">
                  <c:v>651</c:v>
                </c:pt>
                <c:pt idx="18">
                  <c:v>446</c:v>
                </c:pt>
                <c:pt idx="19">
                  <c:v>555</c:v>
                </c:pt>
                <c:pt idx="20">
                  <c:v>716</c:v>
                </c:pt>
                <c:pt idx="21">
                  <c:v>709</c:v>
                </c:pt>
                <c:pt idx="22">
                  <c:v>662</c:v>
                </c:pt>
                <c:pt idx="23">
                  <c:v>683</c:v>
                </c:pt>
                <c:pt idx="24">
                  <c:v>623</c:v>
                </c:pt>
                <c:pt idx="25">
                  <c:v>706</c:v>
                </c:pt>
                <c:pt idx="26">
                  <c:v>685</c:v>
                </c:pt>
                <c:pt idx="27">
                  <c:v>686</c:v>
                </c:pt>
                <c:pt idx="28">
                  <c:v>663</c:v>
                </c:pt>
                <c:pt idx="29">
                  <c:v>666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106112"/>
        <c:axId val="174107648"/>
      </c:scatterChart>
      <c:valAx>
        <c:axId val="174106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4107648"/>
        <c:crosses val="autoZero"/>
        <c:crossBetween val="midCat"/>
      </c:valAx>
      <c:valAx>
        <c:axId val="1741076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410611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Energy vs Temparature</c:v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'Raw Data'!$B$2:$B$31</c:f>
              <c:numCache>
                <c:formatCode>General</c:formatCode>
                <c:ptCount val="30"/>
                <c:pt idx="0">
                  <c:v>26.63</c:v>
                </c:pt>
                <c:pt idx="1">
                  <c:v>26.18</c:v>
                </c:pt>
                <c:pt idx="2">
                  <c:v>26.01</c:v>
                </c:pt>
                <c:pt idx="3">
                  <c:v>26.56</c:v>
                </c:pt>
                <c:pt idx="4">
                  <c:v>26.97</c:v>
                </c:pt>
                <c:pt idx="5">
                  <c:v>26.5</c:v>
                </c:pt>
                <c:pt idx="6">
                  <c:v>25.44</c:v>
                </c:pt>
                <c:pt idx="7">
                  <c:v>24.96</c:v>
                </c:pt>
                <c:pt idx="8">
                  <c:v>25.46</c:v>
                </c:pt>
                <c:pt idx="9">
                  <c:v>24.83</c:v>
                </c:pt>
                <c:pt idx="10">
                  <c:v>25.19</c:v>
                </c:pt>
                <c:pt idx="11">
                  <c:v>25.35</c:v>
                </c:pt>
                <c:pt idx="12">
                  <c:v>25.27</c:v>
                </c:pt>
                <c:pt idx="13">
                  <c:v>24.89</c:v>
                </c:pt>
                <c:pt idx="14">
                  <c:v>24.37</c:v>
                </c:pt>
                <c:pt idx="15">
                  <c:v>24.43</c:v>
                </c:pt>
                <c:pt idx="16">
                  <c:v>24.14</c:v>
                </c:pt>
                <c:pt idx="17">
                  <c:v>23.95</c:v>
                </c:pt>
                <c:pt idx="18">
                  <c:v>24.25</c:v>
                </c:pt>
                <c:pt idx="19">
                  <c:v>23.08</c:v>
                </c:pt>
                <c:pt idx="20">
                  <c:v>23.04</c:v>
                </c:pt>
                <c:pt idx="21">
                  <c:v>23.64</c:v>
                </c:pt>
                <c:pt idx="22">
                  <c:v>24.13</c:v>
                </c:pt>
                <c:pt idx="23">
                  <c:v>24.45</c:v>
                </c:pt>
                <c:pt idx="24">
                  <c:v>24.16</c:v>
                </c:pt>
                <c:pt idx="25">
                  <c:v>23.85</c:v>
                </c:pt>
                <c:pt idx="26">
                  <c:v>24.46</c:v>
                </c:pt>
                <c:pt idx="27">
                  <c:v>24.44</c:v>
                </c:pt>
                <c:pt idx="28">
                  <c:v>24.28</c:v>
                </c:pt>
                <c:pt idx="29">
                  <c:v>23.68</c:v>
                </c:pt>
              </c:numCache>
            </c:numRef>
          </c:xVal>
          <c:yVal>
            <c:numRef>
              <c:f>'Raw Data'!$G$2:$G$31</c:f>
              <c:numCache>
                <c:formatCode>General</c:formatCode>
                <c:ptCount val="30"/>
                <c:pt idx="0">
                  <c:v>586</c:v>
                </c:pt>
                <c:pt idx="1">
                  <c:v>243</c:v>
                </c:pt>
                <c:pt idx="2">
                  <c:v>464</c:v>
                </c:pt>
                <c:pt idx="3">
                  <c:v>583</c:v>
                </c:pt>
                <c:pt idx="4">
                  <c:v>617</c:v>
                </c:pt>
                <c:pt idx="5">
                  <c:v>636</c:v>
                </c:pt>
                <c:pt idx="6">
                  <c:v>591</c:v>
                </c:pt>
                <c:pt idx="7">
                  <c:v>507</c:v>
                </c:pt>
                <c:pt idx="8">
                  <c:v>593</c:v>
                </c:pt>
                <c:pt idx="9">
                  <c:v>587</c:v>
                </c:pt>
                <c:pt idx="10">
                  <c:v>635</c:v>
                </c:pt>
                <c:pt idx="11">
                  <c:v>602</c:v>
                </c:pt>
                <c:pt idx="12">
                  <c:v>620</c:v>
                </c:pt>
                <c:pt idx="13">
                  <c:v>616</c:v>
                </c:pt>
                <c:pt idx="14">
                  <c:v>609</c:v>
                </c:pt>
                <c:pt idx="15">
                  <c:v>595</c:v>
                </c:pt>
                <c:pt idx="16">
                  <c:v>583</c:v>
                </c:pt>
                <c:pt idx="17">
                  <c:v>651</c:v>
                </c:pt>
                <c:pt idx="18">
                  <c:v>446</c:v>
                </c:pt>
                <c:pt idx="19">
                  <c:v>555</c:v>
                </c:pt>
                <c:pt idx="20">
                  <c:v>716</c:v>
                </c:pt>
                <c:pt idx="21">
                  <c:v>709</c:v>
                </c:pt>
                <c:pt idx="22">
                  <c:v>662</c:v>
                </c:pt>
                <c:pt idx="23">
                  <c:v>683</c:v>
                </c:pt>
                <c:pt idx="24">
                  <c:v>623</c:v>
                </c:pt>
                <c:pt idx="25">
                  <c:v>706</c:v>
                </c:pt>
                <c:pt idx="26">
                  <c:v>685</c:v>
                </c:pt>
                <c:pt idx="27">
                  <c:v>686</c:v>
                </c:pt>
                <c:pt idx="28">
                  <c:v>663</c:v>
                </c:pt>
                <c:pt idx="29">
                  <c:v>666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328896"/>
        <c:axId val="197330432"/>
      </c:scatterChart>
      <c:valAx>
        <c:axId val="197328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7330432"/>
        <c:crosses val="autoZero"/>
        <c:crossBetween val="midCat"/>
      </c:valAx>
      <c:valAx>
        <c:axId val="1973304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732889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Energy Vs Relative Humidity</c:v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'Raw Data'!$D$2:$D$31</c:f>
              <c:numCache>
                <c:formatCode>General</c:formatCode>
                <c:ptCount val="30"/>
                <c:pt idx="0">
                  <c:v>64.459999999999994</c:v>
                </c:pt>
                <c:pt idx="1">
                  <c:v>73.2</c:v>
                </c:pt>
                <c:pt idx="2">
                  <c:v>70.77</c:v>
                </c:pt>
                <c:pt idx="3">
                  <c:v>62.06</c:v>
                </c:pt>
                <c:pt idx="4">
                  <c:v>60.59</c:v>
                </c:pt>
                <c:pt idx="5">
                  <c:v>54.55</c:v>
                </c:pt>
                <c:pt idx="6">
                  <c:v>70.64</c:v>
                </c:pt>
                <c:pt idx="7">
                  <c:v>74.78</c:v>
                </c:pt>
                <c:pt idx="8">
                  <c:v>57.22</c:v>
                </c:pt>
                <c:pt idx="9">
                  <c:v>59.33</c:v>
                </c:pt>
                <c:pt idx="10">
                  <c:v>55.71</c:v>
                </c:pt>
                <c:pt idx="11">
                  <c:v>57.62</c:v>
                </c:pt>
                <c:pt idx="12">
                  <c:v>55.42</c:v>
                </c:pt>
                <c:pt idx="13">
                  <c:v>52.94</c:v>
                </c:pt>
                <c:pt idx="14">
                  <c:v>51.18</c:v>
                </c:pt>
                <c:pt idx="15">
                  <c:v>48.14</c:v>
                </c:pt>
                <c:pt idx="16">
                  <c:v>51.26</c:v>
                </c:pt>
                <c:pt idx="17">
                  <c:v>50.86</c:v>
                </c:pt>
                <c:pt idx="18">
                  <c:v>49.1</c:v>
                </c:pt>
                <c:pt idx="19">
                  <c:v>53.6</c:v>
                </c:pt>
                <c:pt idx="20">
                  <c:v>60.76</c:v>
                </c:pt>
                <c:pt idx="21">
                  <c:v>60.34</c:v>
                </c:pt>
                <c:pt idx="22">
                  <c:v>58.29</c:v>
                </c:pt>
                <c:pt idx="23">
                  <c:v>53.51</c:v>
                </c:pt>
                <c:pt idx="24">
                  <c:v>54.81</c:v>
                </c:pt>
                <c:pt idx="25">
                  <c:v>55.5</c:v>
                </c:pt>
                <c:pt idx="26">
                  <c:v>56.96</c:v>
                </c:pt>
                <c:pt idx="27">
                  <c:v>54.3</c:v>
                </c:pt>
                <c:pt idx="28">
                  <c:v>55.25</c:v>
                </c:pt>
                <c:pt idx="29">
                  <c:v>59.58</c:v>
                </c:pt>
              </c:numCache>
            </c:numRef>
          </c:xVal>
          <c:yVal>
            <c:numRef>
              <c:f>'Raw Data'!$G$2:$G$31</c:f>
              <c:numCache>
                <c:formatCode>General</c:formatCode>
                <c:ptCount val="30"/>
                <c:pt idx="0">
                  <c:v>586</c:v>
                </c:pt>
                <c:pt idx="1">
                  <c:v>243</c:v>
                </c:pt>
                <c:pt idx="2">
                  <c:v>464</c:v>
                </c:pt>
                <c:pt idx="3">
                  <c:v>583</c:v>
                </c:pt>
                <c:pt idx="4">
                  <c:v>617</c:v>
                </c:pt>
                <c:pt idx="5">
                  <c:v>636</c:v>
                </c:pt>
                <c:pt idx="6">
                  <c:v>591</c:v>
                </c:pt>
                <c:pt idx="7">
                  <c:v>507</c:v>
                </c:pt>
                <c:pt idx="8">
                  <c:v>593</c:v>
                </c:pt>
                <c:pt idx="9">
                  <c:v>587</c:v>
                </c:pt>
                <c:pt idx="10">
                  <c:v>635</c:v>
                </c:pt>
                <c:pt idx="11">
                  <c:v>602</c:v>
                </c:pt>
                <c:pt idx="12">
                  <c:v>620</c:v>
                </c:pt>
                <c:pt idx="13">
                  <c:v>616</c:v>
                </c:pt>
                <c:pt idx="14">
                  <c:v>609</c:v>
                </c:pt>
                <c:pt idx="15">
                  <c:v>595</c:v>
                </c:pt>
                <c:pt idx="16">
                  <c:v>583</c:v>
                </c:pt>
                <c:pt idx="17">
                  <c:v>651</c:v>
                </c:pt>
                <c:pt idx="18">
                  <c:v>446</c:v>
                </c:pt>
                <c:pt idx="19">
                  <c:v>555</c:v>
                </c:pt>
                <c:pt idx="20">
                  <c:v>716</c:v>
                </c:pt>
                <c:pt idx="21">
                  <c:v>709</c:v>
                </c:pt>
                <c:pt idx="22">
                  <c:v>662</c:v>
                </c:pt>
                <c:pt idx="23">
                  <c:v>683</c:v>
                </c:pt>
                <c:pt idx="24">
                  <c:v>623</c:v>
                </c:pt>
                <c:pt idx="25">
                  <c:v>706</c:v>
                </c:pt>
                <c:pt idx="26">
                  <c:v>685</c:v>
                </c:pt>
                <c:pt idx="27">
                  <c:v>686</c:v>
                </c:pt>
                <c:pt idx="28">
                  <c:v>663</c:v>
                </c:pt>
                <c:pt idx="29">
                  <c:v>666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351680"/>
        <c:axId val="197361664"/>
      </c:scatterChart>
      <c:valAx>
        <c:axId val="197351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7361664"/>
        <c:crosses val="autoZero"/>
        <c:crossBetween val="midCat"/>
      </c:valAx>
      <c:valAx>
        <c:axId val="1973616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735168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Energy Vs Wind Speed</c:v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'Raw Data'!$C$2:$C$31</c:f>
              <c:numCache>
                <c:formatCode>General</c:formatCode>
                <c:ptCount val="30"/>
                <c:pt idx="0">
                  <c:v>0.56999999999999995</c:v>
                </c:pt>
                <c:pt idx="1">
                  <c:v>0.69</c:v>
                </c:pt>
                <c:pt idx="2">
                  <c:v>0.93</c:v>
                </c:pt>
                <c:pt idx="3">
                  <c:v>0.57999999999999996</c:v>
                </c:pt>
                <c:pt idx="4">
                  <c:v>0.59</c:v>
                </c:pt>
                <c:pt idx="5">
                  <c:v>0.59</c:v>
                </c:pt>
                <c:pt idx="6">
                  <c:v>1.1499999999999999</c:v>
                </c:pt>
                <c:pt idx="7">
                  <c:v>0.95</c:v>
                </c:pt>
                <c:pt idx="8">
                  <c:v>0.94</c:v>
                </c:pt>
                <c:pt idx="9">
                  <c:v>0.89</c:v>
                </c:pt>
                <c:pt idx="10">
                  <c:v>0.6</c:v>
                </c:pt>
                <c:pt idx="11">
                  <c:v>0.64</c:v>
                </c:pt>
                <c:pt idx="12">
                  <c:v>0.65</c:v>
                </c:pt>
                <c:pt idx="13">
                  <c:v>0.73</c:v>
                </c:pt>
                <c:pt idx="14">
                  <c:v>0.59</c:v>
                </c:pt>
                <c:pt idx="15">
                  <c:v>0.56000000000000005</c:v>
                </c:pt>
                <c:pt idx="16">
                  <c:v>1.02</c:v>
                </c:pt>
                <c:pt idx="17">
                  <c:v>0.8</c:v>
                </c:pt>
                <c:pt idx="18">
                  <c:v>0.68</c:v>
                </c:pt>
                <c:pt idx="19">
                  <c:v>0.61</c:v>
                </c:pt>
                <c:pt idx="20">
                  <c:v>0.53</c:v>
                </c:pt>
                <c:pt idx="21">
                  <c:v>0.56999999999999995</c:v>
                </c:pt>
                <c:pt idx="22">
                  <c:v>0.62</c:v>
                </c:pt>
                <c:pt idx="23">
                  <c:v>0.61</c:v>
                </c:pt>
                <c:pt idx="24">
                  <c:v>0.64</c:v>
                </c:pt>
                <c:pt idx="25">
                  <c:v>0.6</c:v>
                </c:pt>
                <c:pt idx="26">
                  <c:v>0.52</c:v>
                </c:pt>
                <c:pt idx="27">
                  <c:v>0.59</c:v>
                </c:pt>
                <c:pt idx="28">
                  <c:v>0.62</c:v>
                </c:pt>
                <c:pt idx="29">
                  <c:v>0.67</c:v>
                </c:pt>
              </c:numCache>
            </c:numRef>
          </c:xVal>
          <c:yVal>
            <c:numRef>
              <c:f>'Raw Data'!$G$2:$G$31</c:f>
              <c:numCache>
                <c:formatCode>General</c:formatCode>
                <c:ptCount val="30"/>
                <c:pt idx="0">
                  <c:v>586</c:v>
                </c:pt>
                <c:pt idx="1">
                  <c:v>243</c:v>
                </c:pt>
                <c:pt idx="2">
                  <c:v>464</c:v>
                </c:pt>
                <c:pt idx="3">
                  <c:v>583</c:v>
                </c:pt>
                <c:pt idx="4">
                  <c:v>617</c:v>
                </c:pt>
                <c:pt idx="5">
                  <c:v>636</c:v>
                </c:pt>
                <c:pt idx="6">
                  <c:v>591</c:v>
                </c:pt>
                <c:pt idx="7">
                  <c:v>507</c:v>
                </c:pt>
                <c:pt idx="8">
                  <c:v>593</c:v>
                </c:pt>
                <c:pt idx="9">
                  <c:v>587</c:v>
                </c:pt>
                <c:pt idx="10">
                  <c:v>635</c:v>
                </c:pt>
                <c:pt idx="11">
                  <c:v>602</c:v>
                </c:pt>
                <c:pt idx="12">
                  <c:v>620</c:v>
                </c:pt>
                <c:pt idx="13">
                  <c:v>616</c:v>
                </c:pt>
                <c:pt idx="14">
                  <c:v>609</c:v>
                </c:pt>
                <c:pt idx="15">
                  <c:v>595</c:v>
                </c:pt>
                <c:pt idx="16">
                  <c:v>583</c:v>
                </c:pt>
                <c:pt idx="17">
                  <c:v>651</c:v>
                </c:pt>
                <c:pt idx="18">
                  <c:v>446</c:v>
                </c:pt>
                <c:pt idx="19">
                  <c:v>555</c:v>
                </c:pt>
                <c:pt idx="20">
                  <c:v>716</c:v>
                </c:pt>
                <c:pt idx="21">
                  <c:v>709</c:v>
                </c:pt>
                <c:pt idx="22">
                  <c:v>662</c:v>
                </c:pt>
                <c:pt idx="23">
                  <c:v>683</c:v>
                </c:pt>
                <c:pt idx="24">
                  <c:v>623</c:v>
                </c:pt>
                <c:pt idx="25">
                  <c:v>706</c:v>
                </c:pt>
                <c:pt idx="26">
                  <c:v>685</c:v>
                </c:pt>
                <c:pt idx="27">
                  <c:v>686</c:v>
                </c:pt>
                <c:pt idx="28">
                  <c:v>663</c:v>
                </c:pt>
                <c:pt idx="29">
                  <c:v>666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164672"/>
        <c:axId val="199166208"/>
      </c:scatterChart>
      <c:valAx>
        <c:axId val="199164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9166208"/>
        <c:crosses val="autoZero"/>
        <c:crossBetween val="midCat"/>
      </c:valAx>
      <c:valAx>
        <c:axId val="1991662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916467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Energy Vs Date</c:v>
          </c:tx>
          <c:marker>
            <c:symbol val="none"/>
          </c:marke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'Raw Data'!$A$2:$A$31</c:f>
              <c:numCache>
                <c:formatCode>m/d/yyyy</c:formatCode>
                <c:ptCount val="30"/>
                <c:pt idx="0">
                  <c:v>43476</c:v>
                </c:pt>
                <c:pt idx="1">
                  <c:v>43477</c:v>
                </c:pt>
                <c:pt idx="2">
                  <c:v>43478</c:v>
                </c:pt>
                <c:pt idx="3">
                  <c:v>43479</c:v>
                </c:pt>
                <c:pt idx="4">
                  <c:v>43480</c:v>
                </c:pt>
                <c:pt idx="5">
                  <c:v>43481</c:v>
                </c:pt>
                <c:pt idx="6">
                  <c:v>43482</c:v>
                </c:pt>
                <c:pt idx="7">
                  <c:v>43483</c:v>
                </c:pt>
                <c:pt idx="8">
                  <c:v>43484</c:v>
                </c:pt>
                <c:pt idx="9">
                  <c:v>43485</c:v>
                </c:pt>
                <c:pt idx="10">
                  <c:v>43486</c:v>
                </c:pt>
                <c:pt idx="11">
                  <c:v>43487</c:v>
                </c:pt>
                <c:pt idx="12">
                  <c:v>43488</c:v>
                </c:pt>
                <c:pt idx="13">
                  <c:v>43489</c:v>
                </c:pt>
                <c:pt idx="14">
                  <c:v>43490</c:v>
                </c:pt>
                <c:pt idx="15">
                  <c:v>43491</c:v>
                </c:pt>
                <c:pt idx="16">
                  <c:v>43492</c:v>
                </c:pt>
                <c:pt idx="17">
                  <c:v>43493</c:v>
                </c:pt>
                <c:pt idx="18">
                  <c:v>43494</c:v>
                </c:pt>
                <c:pt idx="19">
                  <c:v>43495</c:v>
                </c:pt>
                <c:pt idx="20">
                  <c:v>43496</c:v>
                </c:pt>
                <c:pt idx="21">
                  <c:v>43497</c:v>
                </c:pt>
                <c:pt idx="22">
                  <c:v>43498</c:v>
                </c:pt>
                <c:pt idx="23">
                  <c:v>43499</c:v>
                </c:pt>
                <c:pt idx="24">
                  <c:v>43500</c:v>
                </c:pt>
                <c:pt idx="25">
                  <c:v>43501</c:v>
                </c:pt>
                <c:pt idx="26">
                  <c:v>43502</c:v>
                </c:pt>
                <c:pt idx="27">
                  <c:v>43503</c:v>
                </c:pt>
                <c:pt idx="28">
                  <c:v>43504</c:v>
                </c:pt>
                <c:pt idx="29">
                  <c:v>43505</c:v>
                </c:pt>
              </c:numCache>
            </c:numRef>
          </c:xVal>
          <c:yVal>
            <c:numRef>
              <c:f>'Raw Data'!$G$2:$G$31</c:f>
              <c:numCache>
                <c:formatCode>General</c:formatCode>
                <c:ptCount val="30"/>
                <c:pt idx="0">
                  <c:v>586</c:v>
                </c:pt>
                <c:pt idx="1">
                  <c:v>243</c:v>
                </c:pt>
                <c:pt idx="2">
                  <c:v>464</c:v>
                </c:pt>
                <c:pt idx="3">
                  <c:v>583</c:v>
                </c:pt>
                <c:pt idx="4">
                  <c:v>617</c:v>
                </c:pt>
                <c:pt idx="5">
                  <c:v>636</c:v>
                </c:pt>
                <c:pt idx="6">
                  <c:v>591</c:v>
                </c:pt>
                <c:pt idx="7">
                  <c:v>507</c:v>
                </c:pt>
                <c:pt idx="8">
                  <c:v>593</c:v>
                </c:pt>
                <c:pt idx="9">
                  <c:v>587</c:v>
                </c:pt>
                <c:pt idx="10">
                  <c:v>635</c:v>
                </c:pt>
                <c:pt idx="11">
                  <c:v>602</c:v>
                </c:pt>
                <c:pt idx="12">
                  <c:v>620</c:v>
                </c:pt>
                <c:pt idx="13">
                  <c:v>616</c:v>
                </c:pt>
                <c:pt idx="14">
                  <c:v>609</c:v>
                </c:pt>
                <c:pt idx="15">
                  <c:v>595</c:v>
                </c:pt>
                <c:pt idx="16">
                  <c:v>583</c:v>
                </c:pt>
                <c:pt idx="17">
                  <c:v>651</c:v>
                </c:pt>
                <c:pt idx="18">
                  <c:v>446</c:v>
                </c:pt>
                <c:pt idx="19">
                  <c:v>555</c:v>
                </c:pt>
                <c:pt idx="20">
                  <c:v>716</c:v>
                </c:pt>
                <c:pt idx="21">
                  <c:v>709</c:v>
                </c:pt>
                <c:pt idx="22">
                  <c:v>662</c:v>
                </c:pt>
                <c:pt idx="23">
                  <c:v>683</c:v>
                </c:pt>
                <c:pt idx="24">
                  <c:v>623</c:v>
                </c:pt>
                <c:pt idx="25">
                  <c:v>706</c:v>
                </c:pt>
                <c:pt idx="26">
                  <c:v>685</c:v>
                </c:pt>
                <c:pt idx="27">
                  <c:v>686</c:v>
                </c:pt>
                <c:pt idx="28">
                  <c:v>663</c:v>
                </c:pt>
                <c:pt idx="29">
                  <c:v>666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206400"/>
        <c:axId val="199207936"/>
      </c:scatterChart>
      <c:valAx>
        <c:axId val="1992064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99207936"/>
        <c:crosses val="autoZero"/>
        <c:crossBetween val="midCat"/>
      </c:valAx>
      <c:valAx>
        <c:axId val="1992079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920640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Daily Energy Generation 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Energy Vs Date</c:v>
          </c:tx>
          <c:marker>
            <c:symbol val="none"/>
          </c:marke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'Raw Data'!$A$2:$A$31</c:f>
              <c:numCache>
                <c:formatCode>m/d/yyyy</c:formatCode>
                <c:ptCount val="30"/>
                <c:pt idx="0">
                  <c:v>43476</c:v>
                </c:pt>
                <c:pt idx="1">
                  <c:v>43477</c:v>
                </c:pt>
                <c:pt idx="2">
                  <c:v>43478</c:v>
                </c:pt>
                <c:pt idx="3">
                  <c:v>43479</c:v>
                </c:pt>
                <c:pt idx="4">
                  <c:v>43480</c:v>
                </c:pt>
                <c:pt idx="5">
                  <c:v>43481</c:v>
                </c:pt>
                <c:pt idx="6">
                  <c:v>43482</c:v>
                </c:pt>
                <c:pt idx="7">
                  <c:v>43483</c:v>
                </c:pt>
                <c:pt idx="8">
                  <c:v>43484</c:v>
                </c:pt>
                <c:pt idx="9">
                  <c:v>43485</c:v>
                </c:pt>
                <c:pt idx="10">
                  <c:v>43486</c:v>
                </c:pt>
                <c:pt idx="11">
                  <c:v>43487</c:v>
                </c:pt>
                <c:pt idx="12">
                  <c:v>43488</c:v>
                </c:pt>
                <c:pt idx="13">
                  <c:v>43489</c:v>
                </c:pt>
                <c:pt idx="14">
                  <c:v>43490</c:v>
                </c:pt>
                <c:pt idx="15">
                  <c:v>43491</c:v>
                </c:pt>
                <c:pt idx="16">
                  <c:v>43492</c:v>
                </c:pt>
                <c:pt idx="17">
                  <c:v>43493</c:v>
                </c:pt>
                <c:pt idx="18">
                  <c:v>43494</c:v>
                </c:pt>
                <c:pt idx="19">
                  <c:v>43495</c:v>
                </c:pt>
                <c:pt idx="20">
                  <c:v>43496</c:v>
                </c:pt>
                <c:pt idx="21">
                  <c:v>43497</c:v>
                </c:pt>
                <c:pt idx="22">
                  <c:v>43498</c:v>
                </c:pt>
                <c:pt idx="23">
                  <c:v>43499</c:v>
                </c:pt>
                <c:pt idx="24">
                  <c:v>43500</c:v>
                </c:pt>
                <c:pt idx="25">
                  <c:v>43501</c:v>
                </c:pt>
                <c:pt idx="26">
                  <c:v>43502</c:v>
                </c:pt>
                <c:pt idx="27">
                  <c:v>43503</c:v>
                </c:pt>
                <c:pt idx="28">
                  <c:v>43504</c:v>
                </c:pt>
                <c:pt idx="29">
                  <c:v>43505</c:v>
                </c:pt>
              </c:numCache>
            </c:numRef>
          </c:xVal>
          <c:yVal>
            <c:numRef>
              <c:f>'Raw Data'!$G$2:$G$31</c:f>
              <c:numCache>
                <c:formatCode>General</c:formatCode>
                <c:ptCount val="30"/>
                <c:pt idx="0">
                  <c:v>586</c:v>
                </c:pt>
                <c:pt idx="1">
                  <c:v>243</c:v>
                </c:pt>
                <c:pt idx="2">
                  <c:v>464</c:v>
                </c:pt>
                <c:pt idx="3">
                  <c:v>583</c:v>
                </c:pt>
                <c:pt idx="4">
                  <c:v>617</c:v>
                </c:pt>
                <c:pt idx="5">
                  <c:v>636</c:v>
                </c:pt>
                <c:pt idx="6">
                  <c:v>591</c:v>
                </c:pt>
                <c:pt idx="7">
                  <c:v>507</c:v>
                </c:pt>
                <c:pt idx="8">
                  <c:v>593</c:v>
                </c:pt>
                <c:pt idx="9">
                  <c:v>587</c:v>
                </c:pt>
                <c:pt idx="10">
                  <c:v>635</c:v>
                </c:pt>
                <c:pt idx="11">
                  <c:v>602</c:v>
                </c:pt>
                <c:pt idx="12">
                  <c:v>620</c:v>
                </c:pt>
                <c:pt idx="13">
                  <c:v>616</c:v>
                </c:pt>
                <c:pt idx="14">
                  <c:v>609</c:v>
                </c:pt>
                <c:pt idx="15">
                  <c:v>595</c:v>
                </c:pt>
                <c:pt idx="16">
                  <c:v>583</c:v>
                </c:pt>
                <c:pt idx="17">
                  <c:v>651</c:v>
                </c:pt>
                <c:pt idx="18">
                  <c:v>446</c:v>
                </c:pt>
                <c:pt idx="19">
                  <c:v>555</c:v>
                </c:pt>
                <c:pt idx="20">
                  <c:v>716</c:v>
                </c:pt>
                <c:pt idx="21">
                  <c:v>709</c:v>
                </c:pt>
                <c:pt idx="22">
                  <c:v>662</c:v>
                </c:pt>
                <c:pt idx="23">
                  <c:v>683</c:v>
                </c:pt>
                <c:pt idx="24">
                  <c:v>623</c:v>
                </c:pt>
                <c:pt idx="25">
                  <c:v>706</c:v>
                </c:pt>
                <c:pt idx="26">
                  <c:v>685</c:v>
                </c:pt>
                <c:pt idx="27">
                  <c:v>686</c:v>
                </c:pt>
                <c:pt idx="28">
                  <c:v>663</c:v>
                </c:pt>
                <c:pt idx="29">
                  <c:v>666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430656"/>
        <c:axId val="197473408"/>
      </c:scatterChart>
      <c:valAx>
        <c:axId val="1974306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97473408"/>
        <c:crosses val="autoZero"/>
        <c:crossBetween val="midCat"/>
      </c:valAx>
      <c:valAx>
        <c:axId val="197473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7430656"/>
        <c:crosses val="autoZero"/>
        <c:crossBetween val="midCat"/>
      </c:valAx>
      <c:spPr>
        <a:solidFill>
          <a:schemeClr val="bg2"/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solidFill>
      <a:schemeClr val="bg2"/>
    </a:solidFill>
    <a:ln>
      <a:solidFill>
        <a:schemeClr val="accent6"/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Enegy vs Solar Radiation</c:v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trendline>
            <c:trendlineType val="linear"/>
            <c:dispRSqr val="0"/>
            <c:dispEq val="0"/>
          </c:trendline>
          <c:xVal>
            <c:numRef>
              <c:f>'Raw Data'!$F$2:$F$31</c:f>
              <c:numCache>
                <c:formatCode>General</c:formatCode>
                <c:ptCount val="30"/>
                <c:pt idx="0">
                  <c:v>160.61000000000001</c:v>
                </c:pt>
                <c:pt idx="1">
                  <c:v>147.94</c:v>
                </c:pt>
                <c:pt idx="2">
                  <c:v>143.19</c:v>
                </c:pt>
                <c:pt idx="3">
                  <c:v>170.26</c:v>
                </c:pt>
                <c:pt idx="4">
                  <c:v>161.77000000000001</c:v>
                </c:pt>
                <c:pt idx="5">
                  <c:v>169.23</c:v>
                </c:pt>
                <c:pt idx="6">
                  <c:v>161.03</c:v>
                </c:pt>
                <c:pt idx="7">
                  <c:v>139.9</c:v>
                </c:pt>
                <c:pt idx="8">
                  <c:v>162.02000000000001</c:v>
                </c:pt>
                <c:pt idx="9">
                  <c:v>161.86000000000001</c:v>
                </c:pt>
                <c:pt idx="10">
                  <c:v>169.32</c:v>
                </c:pt>
                <c:pt idx="11">
                  <c:v>165.42</c:v>
                </c:pt>
                <c:pt idx="12">
                  <c:v>166.53</c:v>
                </c:pt>
                <c:pt idx="13">
                  <c:v>163.29</c:v>
                </c:pt>
                <c:pt idx="14">
                  <c:v>162.06</c:v>
                </c:pt>
                <c:pt idx="15">
                  <c:v>158.91</c:v>
                </c:pt>
                <c:pt idx="16">
                  <c:v>168.04</c:v>
                </c:pt>
                <c:pt idx="17">
                  <c:v>162.36000000000001</c:v>
                </c:pt>
                <c:pt idx="18">
                  <c:v>163.9</c:v>
                </c:pt>
                <c:pt idx="19">
                  <c:v>137.21</c:v>
                </c:pt>
                <c:pt idx="20">
                  <c:v>154.41</c:v>
                </c:pt>
                <c:pt idx="21">
                  <c:v>158.08000000000001</c:v>
                </c:pt>
                <c:pt idx="22">
                  <c:v>148.63999999999999</c:v>
                </c:pt>
                <c:pt idx="23">
                  <c:v>155.28</c:v>
                </c:pt>
                <c:pt idx="24">
                  <c:v>145.1</c:v>
                </c:pt>
                <c:pt idx="25">
                  <c:v>160.9</c:v>
                </c:pt>
                <c:pt idx="26">
                  <c:v>145.75</c:v>
                </c:pt>
                <c:pt idx="27">
                  <c:v>149.19</c:v>
                </c:pt>
                <c:pt idx="28">
                  <c:v>137.27000000000001</c:v>
                </c:pt>
                <c:pt idx="29">
                  <c:v>148.84</c:v>
                </c:pt>
              </c:numCache>
            </c:numRef>
          </c:xVal>
          <c:yVal>
            <c:numRef>
              <c:f>'Raw Data'!$G$2:$G$31</c:f>
              <c:numCache>
                <c:formatCode>General</c:formatCode>
                <c:ptCount val="30"/>
                <c:pt idx="0">
                  <c:v>586</c:v>
                </c:pt>
                <c:pt idx="1">
                  <c:v>243</c:v>
                </c:pt>
                <c:pt idx="2">
                  <c:v>464</c:v>
                </c:pt>
                <c:pt idx="3">
                  <c:v>583</c:v>
                </c:pt>
                <c:pt idx="4">
                  <c:v>617</c:v>
                </c:pt>
                <c:pt idx="5">
                  <c:v>636</c:v>
                </c:pt>
                <c:pt idx="6">
                  <c:v>591</c:v>
                </c:pt>
                <c:pt idx="7">
                  <c:v>507</c:v>
                </c:pt>
                <c:pt idx="8">
                  <c:v>593</c:v>
                </c:pt>
                <c:pt idx="9">
                  <c:v>587</c:v>
                </c:pt>
                <c:pt idx="10">
                  <c:v>635</c:v>
                </c:pt>
                <c:pt idx="11">
                  <c:v>602</c:v>
                </c:pt>
                <c:pt idx="12">
                  <c:v>620</c:v>
                </c:pt>
                <c:pt idx="13">
                  <c:v>616</c:v>
                </c:pt>
                <c:pt idx="14">
                  <c:v>609</c:v>
                </c:pt>
                <c:pt idx="15">
                  <c:v>595</c:v>
                </c:pt>
                <c:pt idx="16">
                  <c:v>583</c:v>
                </c:pt>
                <c:pt idx="17">
                  <c:v>651</c:v>
                </c:pt>
                <c:pt idx="18">
                  <c:v>446</c:v>
                </c:pt>
                <c:pt idx="19">
                  <c:v>555</c:v>
                </c:pt>
                <c:pt idx="20">
                  <c:v>716</c:v>
                </c:pt>
                <c:pt idx="21">
                  <c:v>709</c:v>
                </c:pt>
                <c:pt idx="22">
                  <c:v>662</c:v>
                </c:pt>
                <c:pt idx="23">
                  <c:v>683</c:v>
                </c:pt>
                <c:pt idx="24">
                  <c:v>623</c:v>
                </c:pt>
                <c:pt idx="25">
                  <c:v>706</c:v>
                </c:pt>
                <c:pt idx="26">
                  <c:v>685</c:v>
                </c:pt>
                <c:pt idx="27">
                  <c:v>686</c:v>
                </c:pt>
                <c:pt idx="28">
                  <c:v>663</c:v>
                </c:pt>
                <c:pt idx="29">
                  <c:v>666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490944"/>
        <c:axId val="197496832"/>
      </c:scatterChart>
      <c:valAx>
        <c:axId val="197490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7496832"/>
        <c:crosses val="autoZero"/>
        <c:crossBetween val="midCat"/>
      </c:valAx>
      <c:valAx>
        <c:axId val="197496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7490944"/>
        <c:crosses val="autoZero"/>
        <c:crossBetween val="midCat"/>
      </c:valAx>
      <c:spPr>
        <a:solidFill>
          <a:schemeClr val="bg2">
            <a:alpha val="65000"/>
          </a:schemeClr>
        </a:solidFill>
      </c:spPr>
    </c:plotArea>
    <c:legend>
      <c:legendPos val="r"/>
      <c:layout/>
      <c:overlay val="0"/>
    </c:legend>
    <c:plotVisOnly val="1"/>
    <c:dispBlanksAs val="gap"/>
    <c:showDLblsOverMax val="0"/>
  </c:chart>
  <c:spPr>
    <a:solidFill>
      <a:schemeClr val="accent6">
        <a:lumMod val="60000"/>
        <a:lumOff val="40000"/>
        <a:alpha val="15000"/>
      </a:schemeClr>
    </a:solidFill>
    <a:ln>
      <a:solidFill>
        <a:schemeClr val="accent6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109537</xdr:rowOff>
    </xdr:from>
    <xdr:to>
      <xdr:col>5</xdr:col>
      <xdr:colOff>38100</xdr:colOff>
      <xdr:row>22</xdr:row>
      <xdr:rowOff>185737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80962</xdr:colOff>
      <xdr:row>8</xdr:row>
      <xdr:rowOff>104775</xdr:rowOff>
    </xdr:from>
    <xdr:to>
      <xdr:col>12</xdr:col>
      <xdr:colOff>385762</xdr:colOff>
      <xdr:row>22</xdr:row>
      <xdr:rowOff>180975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5</xdr:col>
      <xdr:colOff>38100</xdr:colOff>
      <xdr:row>37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90487</xdr:colOff>
      <xdr:row>22</xdr:row>
      <xdr:rowOff>180975</xdr:rowOff>
    </xdr:from>
    <xdr:to>
      <xdr:col>12</xdr:col>
      <xdr:colOff>395287</xdr:colOff>
      <xdr:row>37</xdr:row>
      <xdr:rowOff>66675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10</xdr:col>
      <xdr:colOff>428625</xdr:colOff>
      <xdr:row>40</xdr:row>
      <xdr:rowOff>9525</xdr:rowOff>
    </xdr:from>
    <xdr:ext cx="3114675" cy="2781301"/>
    <xdr:sp macro="" textlink="">
      <xdr:nvSpPr>
        <xdr:cNvPr id="8" name="TextBox 7"/>
        <xdr:cNvSpPr txBox="1"/>
      </xdr:nvSpPr>
      <xdr:spPr>
        <a:xfrm>
          <a:off x="9220200" y="7629525"/>
          <a:ext cx="3114675" cy="2781301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200" b="1" u="sng">
              <a:latin typeface="+mj-lt"/>
            </a:rPr>
            <a:t>Monthly Technical Observations</a:t>
          </a:r>
        </a:p>
        <a:p>
          <a:r>
            <a:rPr lang="en-US" sz="1200" b="0" u="none">
              <a:latin typeface="+mj-lt"/>
            </a:rPr>
            <a:t>~No of underperforming</a:t>
          </a:r>
          <a:r>
            <a:rPr lang="en-US" sz="1200" b="0" u="none" baseline="0">
              <a:latin typeface="+mj-lt"/>
            </a:rPr>
            <a:t> days = 18</a:t>
          </a:r>
        </a:p>
        <a:p>
          <a:r>
            <a:rPr lang="en-US" sz="1200" b="0" u="none" baseline="0">
              <a:latin typeface="+mj-lt"/>
            </a:rPr>
            <a:t>~ Likely causes:</a:t>
          </a:r>
        </a:p>
        <a:p>
          <a:r>
            <a:rPr lang="en-US" sz="1200" b="0" u="none" baseline="0">
              <a:latin typeface="+mj-lt"/>
            </a:rPr>
            <a:t>    weather</a:t>
          </a:r>
        </a:p>
        <a:p>
          <a:r>
            <a:rPr lang="en-US" sz="1200" b="0" u="none" baseline="0">
              <a:latin typeface="+mj-lt"/>
            </a:rPr>
            <a:t>    system issues</a:t>
          </a:r>
        </a:p>
        <a:p>
          <a:r>
            <a:rPr lang="en-US" sz="1200" b="0" u="none" baseline="0">
              <a:latin typeface="+mj-lt"/>
            </a:rPr>
            <a:t>~ Recommendations</a:t>
          </a:r>
        </a:p>
        <a:p>
          <a:r>
            <a:rPr lang="en-US" sz="1200" b="0" u="none" baseline="0">
              <a:latin typeface="+mj-lt"/>
            </a:rPr>
            <a:t> Review Inverter and panel performance</a:t>
          </a:r>
        </a:p>
        <a:p>
          <a:r>
            <a:rPr lang="en-US" sz="1200" b="0" u="none" baseline="0">
              <a:latin typeface="+mj-lt"/>
            </a:rPr>
            <a:t> Inspect and clean panels</a:t>
          </a:r>
        </a:p>
        <a:p>
          <a:r>
            <a:rPr lang="en-US" sz="1200" b="0" u="none" baseline="0">
              <a:latin typeface="+mj-lt"/>
            </a:rPr>
            <a:t> Check for wiring, shading  etc</a:t>
          </a:r>
        </a:p>
        <a:p>
          <a:r>
            <a:rPr lang="en-US" sz="1200" b="0" u="none" baseline="0">
              <a:latin typeface="+mj-lt"/>
            </a:rPr>
            <a:t> Monitor system during high irradiance days</a:t>
          </a:r>
          <a:endParaRPr lang="en-US" sz="1200" b="0" u="none">
            <a:latin typeface="+mj-lt"/>
          </a:endParaRPr>
        </a:p>
      </xdr:txBody>
    </xdr:sp>
    <xdr:clientData/>
  </xdr:oneCellAnchor>
  <xdr:twoCellAnchor>
    <xdr:from>
      <xdr:col>3</xdr:col>
      <xdr:colOff>71437</xdr:colOff>
      <xdr:row>40</xdr:row>
      <xdr:rowOff>0</xdr:rowOff>
    </xdr:from>
    <xdr:to>
      <xdr:col>10</xdr:col>
      <xdr:colOff>376237</xdr:colOff>
      <xdr:row>54</xdr:row>
      <xdr:rowOff>57150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542925</xdr:colOff>
      <xdr:row>5</xdr:row>
      <xdr:rowOff>161925</xdr:rowOff>
    </xdr:from>
    <xdr:to>
      <xdr:col>4</xdr:col>
      <xdr:colOff>3717675</xdr:colOff>
      <xdr:row>21</xdr:row>
      <xdr:rowOff>65925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23</xdr:row>
      <xdr:rowOff>0</xdr:rowOff>
    </xdr:from>
    <xdr:to>
      <xdr:col>4</xdr:col>
      <xdr:colOff>40350</xdr:colOff>
      <xdr:row>37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4</xdr:col>
      <xdr:colOff>628650</xdr:colOff>
      <xdr:row>23</xdr:row>
      <xdr:rowOff>19050</xdr:rowOff>
    </xdr:from>
    <xdr:ext cx="3114675" cy="2695575"/>
    <xdr:sp macro="" textlink="">
      <xdr:nvSpPr>
        <xdr:cNvPr id="4" name="TextBox 3"/>
        <xdr:cNvSpPr txBox="1"/>
      </xdr:nvSpPr>
      <xdr:spPr>
        <a:xfrm>
          <a:off x="6057900" y="4476750"/>
          <a:ext cx="3114675" cy="2695575"/>
        </a:xfrm>
        <a:prstGeom prst="rect">
          <a:avLst/>
        </a:prstGeom>
        <a:solidFill>
          <a:schemeClr val="accent6">
            <a:lumMod val="60000"/>
            <a:lumOff val="40000"/>
            <a:alpha val="17000"/>
          </a:schemeClr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200" b="1" u="sng">
              <a:latin typeface="+mj-lt"/>
            </a:rPr>
            <a:t>Monthly Technical Observations</a:t>
          </a:r>
        </a:p>
        <a:p>
          <a:r>
            <a:rPr lang="en-US" sz="1200" b="0" u="none">
              <a:latin typeface="+mj-lt"/>
            </a:rPr>
            <a:t>~No of underperforming</a:t>
          </a:r>
          <a:r>
            <a:rPr lang="en-US" sz="1200" b="0" u="none" baseline="0">
              <a:latin typeface="+mj-lt"/>
            </a:rPr>
            <a:t> days = 18</a:t>
          </a:r>
        </a:p>
        <a:p>
          <a:r>
            <a:rPr lang="en-US" sz="1200" b="0" u="none" baseline="0">
              <a:latin typeface="+mj-lt"/>
            </a:rPr>
            <a:t>~ Likely causes:</a:t>
          </a:r>
        </a:p>
        <a:p>
          <a:r>
            <a:rPr lang="en-US" sz="1200" b="0" u="none" baseline="0">
              <a:latin typeface="+mj-lt"/>
            </a:rPr>
            <a:t>    weather</a:t>
          </a:r>
        </a:p>
        <a:p>
          <a:r>
            <a:rPr lang="en-US" sz="1200" b="0" u="none" baseline="0">
              <a:latin typeface="+mj-lt"/>
            </a:rPr>
            <a:t>    system issues</a:t>
          </a:r>
        </a:p>
        <a:p>
          <a:r>
            <a:rPr lang="en-US" sz="1200" b="0" u="none" baseline="0">
              <a:latin typeface="+mj-lt"/>
            </a:rPr>
            <a:t>~ Recommendations</a:t>
          </a:r>
        </a:p>
        <a:p>
          <a:r>
            <a:rPr lang="en-US" sz="1200" b="0" u="none" baseline="0">
              <a:latin typeface="+mj-lt"/>
            </a:rPr>
            <a:t> Review Inverter and panel performance</a:t>
          </a:r>
        </a:p>
        <a:p>
          <a:r>
            <a:rPr lang="en-US" sz="1200" b="0" u="none" baseline="0">
              <a:latin typeface="+mj-lt"/>
            </a:rPr>
            <a:t> Inspect and clean panels</a:t>
          </a:r>
        </a:p>
        <a:p>
          <a:r>
            <a:rPr lang="en-US" sz="1200" b="0" u="none" baseline="0">
              <a:latin typeface="+mj-lt"/>
            </a:rPr>
            <a:t> Check for wiring, shading  etc</a:t>
          </a:r>
        </a:p>
        <a:p>
          <a:r>
            <a:rPr lang="en-US" sz="1200" b="0" u="none" baseline="0">
              <a:latin typeface="+mj-lt"/>
            </a:rPr>
            <a:t> Monitor system during high irradiance days</a:t>
          </a:r>
          <a:endParaRPr lang="en-US" sz="1200" b="0" u="none">
            <a:latin typeface="+mj-lt"/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id="1" name="Table1" displayName="Table1" ref="A1:G32" totalsRowCount="1" headerRowDxfId="31" dataDxfId="29" headerRowBorderDxfId="30" tableBorderDxfId="28" totalsRowBorderDxfId="27">
  <autoFilter ref="A1:G31"/>
  <tableColumns count="7">
    <tableColumn id="1" name="Date" dataDxfId="26" totalsRowDxfId="25"/>
    <tableColumn id="2" name="AT" dataDxfId="24" totalsRowDxfId="23"/>
    <tableColumn id="3" name="WS" dataDxfId="22" totalsRowDxfId="21"/>
    <tableColumn id="4" name="RH" dataDxfId="20" totalsRowDxfId="19"/>
    <tableColumn id="5" name="BP" dataDxfId="18" totalsRowDxfId="17"/>
    <tableColumn id="6" name="SR" dataDxfId="16" totalsRowDxfId="15"/>
    <tableColumn id="7" name="Energy (kwh)" totalsRowFunction="custom" dataDxfId="14" totalsRowDxfId="13">
      <totalsRowFormula>SUM(Table1[Energy (kwh)])</totalsRowFormula>
    </tableColumn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B8" totalsRowShown="0" headerRowBorderDxfId="12" tableBorderDxfId="11">
  <autoFilter ref="A2:B8"/>
  <tableColumns count="2">
    <tableColumn id="1" name="KPI" dataDxfId="10"/>
    <tableColumn id="2" name="Value " dataDxfId="9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B3:E4" totalsRowShown="0" headerRowDxfId="8" dataDxfId="6" headerRowBorderDxfId="7" tableBorderDxfId="5" totalsRowBorderDxfId="4">
  <autoFilter ref="B3:E4"/>
  <tableColumns count="4">
    <tableColumn id="1" name="Total Energy (kWh)" dataDxfId="3">
      <calculatedColumnFormula>Analysis!B3</calculatedColumnFormula>
    </tableColumn>
    <tableColumn id="2" name="Average Daily Energy" dataDxfId="2">
      <calculatedColumnFormula>Table2[[#This Row],[Value ]]</calculatedColumnFormula>
    </tableColumn>
    <tableColumn id="3" name="Best Day Output(kWh)" dataDxfId="1">
      <calculatedColumnFormula>Analysis!B5</calculatedColumnFormula>
    </tableColumn>
    <tableColumn id="4" name="Worst Day Output (kWh)" dataDxfId="0">
      <calculatedColumnFormula>Analysis!B6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32"/>
  <sheetViews>
    <sheetView workbookViewId="0">
      <pane ySplit="1" topLeftCell="A12" activePane="bottomLeft" state="frozen"/>
      <selection pane="bottomLeft" activeCell="I5" sqref="I5"/>
    </sheetView>
  </sheetViews>
  <sheetFormatPr defaultRowHeight="15"/>
  <cols>
    <col min="1" max="1" width="28.7109375" customWidth="1"/>
    <col min="7" max="7" width="14.7109375" customWidth="1"/>
    <col min="9" max="9" width="31.140625" customWidth="1"/>
    <col min="10" max="10" width="29.42578125" customWidth="1"/>
  </cols>
  <sheetData>
    <row r="1" spans="1:10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10">
      <c r="A2" s="2">
        <v>43476</v>
      </c>
      <c r="B2" s="1">
        <v>26.63</v>
      </c>
      <c r="C2" s="1">
        <v>0.56999999999999995</v>
      </c>
      <c r="D2" s="1">
        <v>64.459999999999994</v>
      </c>
      <c r="E2" s="1">
        <v>704.29</v>
      </c>
      <c r="F2" s="1">
        <v>160.61000000000001</v>
      </c>
      <c r="G2" s="3">
        <v>586</v>
      </c>
    </row>
    <row r="3" spans="1:10">
      <c r="A3" s="2">
        <v>43477</v>
      </c>
      <c r="B3" s="1">
        <v>26.18</v>
      </c>
      <c r="C3" s="1">
        <v>0.69</v>
      </c>
      <c r="D3" s="1">
        <v>73.2</v>
      </c>
      <c r="E3" s="1">
        <v>705.52</v>
      </c>
      <c r="F3" s="1">
        <v>147.94</v>
      </c>
      <c r="G3" s="3">
        <v>243</v>
      </c>
    </row>
    <row r="4" spans="1:10">
      <c r="A4" s="2">
        <v>43478</v>
      </c>
      <c r="B4" s="1">
        <v>26.01</v>
      </c>
      <c r="C4" s="1">
        <v>0.93</v>
      </c>
      <c r="D4" s="1">
        <v>70.77</v>
      </c>
      <c r="E4" s="1">
        <v>706.72</v>
      </c>
      <c r="F4" s="1">
        <v>143.19</v>
      </c>
      <c r="G4" s="3">
        <v>464</v>
      </c>
    </row>
    <row r="5" spans="1:10">
      <c r="A5" s="2">
        <v>43479</v>
      </c>
      <c r="B5" s="1">
        <v>26.56</v>
      </c>
      <c r="C5" s="1">
        <v>0.57999999999999996</v>
      </c>
      <c r="D5" s="1">
        <v>62.06</v>
      </c>
      <c r="E5" s="1">
        <v>706.69</v>
      </c>
      <c r="F5" s="1">
        <v>170.26</v>
      </c>
      <c r="G5" s="3">
        <v>583</v>
      </c>
    </row>
    <row r="6" spans="1:10">
      <c r="A6" s="2">
        <v>43480</v>
      </c>
      <c r="B6" s="1">
        <v>26.97</v>
      </c>
      <c r="C6" s="1">
        <v>0.59</v>
      </c>
      <c r="D6" s="1">
        <v>60.59</v>
      </c>
      <c r="E6" s="1">
        <v>704.56</v>
      </c>
      <c r="F6" s="1">
        <v>161.77000000000001</v>
      </c>
      <c r="G6" s="3">
        <v>617</v>
      </c>
    </row>
    <row r="7" spans="1:10">
      <c r="A7" s="2">
        <v>43481</v>
      </c>
      <c r="B7" s="1">
        <v>26.5</v>
      </c>
      <c r="C7" s="1">
        <v>0.59</v>
      </c>
      <c r="D7" s="1">
        <v>54.55</v>
      </c>
      <c r="E7" s="1">
        <v>702.33</v>
      </c>
      <c r="F7" s="1">
        <v>169.23</v>
      </c>
      <c r="G7" s="3">
        <v>636</v>
      </c>
      <c r="I7" s="14"/>
      <c r="J7" s="14"/>
    </row>
    <row r="8" spans="1:10">
      <c r="A8" s="2">
        <v>43482</v>
      </c>
      <c r="B8" s="1">
        <v>25.44</v>
      </c>
      <c r="C8" s="1">
        <v>1.1499999999999999</v>
      </c>
      <c r="D8" s="1">
        <v>70.64</v>
      </c>
      <c r="E8" s="1">
        <v>701.85</v>
      </c>
      <c r="F8" s="1">
        <v>161.03</v>
      </c>
      <c r="G8" s="3">
        <v>591</v>
      </c>
    </row>
    <row r="9" spans="1:10">
      <c r="A9" s="2">
        <v>43483</v>
      </c>
      <c r="B9" s="1">
        <v>24.96</v>
      </c>
      <c r="C9" s="1">
        <v>0.95</v>
      </c>
      <c r="D9" s="1">
        <v>74.78</v>
      </c>
      <c r="E9" s="1">
        <v>703.4</v>
      </c>
      <c r="F9" s="1">
        <v>139.9</v>
      </c>
      <c r="G9" s="3">
        <v>507</v>
      </c>
    </row>
    <row r="10" spans="1:10">
      <c r="A10" s="2">
        <v>43484</v>
      </c>
      <c r="B10" s="1">
        <v>25.46</v>
      </c>
      <c r="C10" s="1">
        <v>0.94</v>
      </c>
      <c r="D10" s="1">
        <v>57.22</v>
      </c>
      <c r="E10" s="1">
        <v>704.6</v>
      </c>
      <c r="F10" s="1">
        <v>162.02000000000001</v>
      </c>
      <c r="G10" s="3">
        <v>593</v>
      </c>
    </row>
    <row r="11" spans="1:10">
      <c r="A11" s="2">
        <v>43485</v>
      </c>
      <c r="B11" s="1">
        <v>24.83</v>
      </c>
      <c r="C11" s="1">
        <v>0.89</v>
      </c>
      <c r="D11" s="1">
        <v>59.33</v>
      </c>
      <c r="E11" s="1">
        <v>705.35</v>
      </c>
      <c r="F11" s="1">
        <v>161.86000000000001</v>
      </c>
      <c r="G11" s="3">
        <v>587</v>
      </c>
    </row>
    <row r="12" spans="1:10">
      <c r="A12" s="2">
        <v>43486</v>
      </c>
      <c r="B12" s="1">
        <v>25.19</v>
      </c>
      <c r="C12" s="1">
        <v>0.6</v>
      </c>
      <c r="D12" s="1">
        <v>55.71</v>
      </c>
      <c r="E12" s="1">
        <v>704.78</v>
      </c>
      <c r="F12" s="1">
        <v>169.32</v>
      </c>
      <c r="G12" s="3">
        <v>635</v>
      </c>
    </row>
    <row r="13" spans="1:10">
      <c r="A13" s="2">
        <v>43487</v>
      </c>
      <c r="B13" s="1">
        <v>25.35</v>
      </c>
      <c r="C13" s="1">
        <v>0.64</v>
      </c>
      <c r="D13" s="1">
        <v>57.62</v>
      </c>
      <c r="E13" s="1">
        <v>705.7</v>
      </c>
      <c r="F13" s="1">
        <v>165.42</v>
      </c>
      <c r="G13" s="3">
        <v>602</v>
      </c>
    </row>
    <row r="14" spans="1:10">
      <c r="A14" s="2">
        <v>43488</v>
      </c>
      <c r="B14" s="1">
        <v>25.27</v>
      </c>
      <c r="C14" s="1">
        <v>0.65</v>
      </c>
      <c r="D14" s="1">
        <v>55.42</v>
      </c>
      <c r="E14" s="1">
        <v>707.17</v>
      </c>
      <c r="F14" s="1">
        <v>166.53</v>
      </c>
      <c r="G14" s="3">
        <v>620</v>
      </c>
    </row>
    <row r="15" spans="1:10">
      <c r="A15" s="2">
        <v>43489</v>
      </c>
      <c r="B15" s="1">
        <v>24.89</v>
      </c>
      <c r="C15" s="1">
        <v>0.73</v>
      </c>
      <c r="D15" s="1">
        <v>52.94</v>
      </c>
      <c r="E15" s="1">
        <v>707.31</v>
      </c>
      <c r="F15" s="1">
        <v>163.29</v>
      </c>
      <c r="G15" s="3">
        <v>616</v>
      </c>
    </row>
    <row r="16" spans="1:10">
      <c r="A16" s="2">
        <v>43490</v>
      </c>
      <c r="B16" s="1">
        <v>24.37</v>
      </c>
      <c r="C16" s="1">
        <v>0.59</v>
      </c>
      <c r="D16" s="1">
        <v>51.18</v>
      </c>
      <c r="E16" s="1">
        <v>706.61</v>
      </c>
      <c r="F16" s="1">
        <v>162.06</v>
      </c>
      <c r="G16" s="3">
        <v>609</v>
      </c>
    </row>
    <row r="17" spans="1:7">
      <c r="A17" s="2">
        <v>43491</v>
      </c>
      <c r="B17" s="1">
        <v>24.43</v>
      </c>
      <c r="C17" s="1">
        <v>0.56000000000000005</v>
      </c>
      <c r="D17" s="1">
        <v>48.14</v>
      </c>
      <c r="E17" s="1">
        <v>706.55</v>
      </c>
      <c r="F17" s="1">
        <v>158.91</v>
      </c>
      <c r="G17" s="3">
        <v>595</v>
      </c>
    </row>
    <row r="18" spans="1:7">
      <c r="A18" s="2">
        <v>43492</v>
      </c>
      <c r="B18" s="1">
        <v>24.14</v>
      </c>
      <c r="C18" s="1">
        <v>1.02</v>
      </c>
      <c r="D18" s="1">
        <v>51.26</v>
      </c>
      <c r="E18" s="1">
        <v>707.6</v>
      </c>
      <c r="F18" s="1">
        <v>168.04</v>
      </c>
      <c r="G18" s="3">
        <v>583</v>
      </c>
    </row>
    <row r="19" spans="1:7">
      <c r="A19" s="2">
        <v>43493</v>
      </c>
      <c r="B19" s="1">
        <v>23.95</v>
      </c>
      <c r="C19" s="1">
        <v>0.8</v>
      </c>
      <c r="D19" s="1">
        <v>50.86</v>
      </c>
      <c r="E19" s="1">
        <v>707.16</v>
      </c>
      <c r="F19" s="1">
        <v>162.36000000000001</v>
      </c>
      <c r="G19" s="3">
        <v>651</v>
      </c>
    </row>
    <row r="20" spans="1:7">
      <c r="A20" s="2">
        <v>43494</v>
      </c>
      <c r="B20" s="1">
        <v>24.25</v>
      </c>
      <c r="C20" s="1">
        <v>0.68</v>
      </c>
      <c r="D20" s="1">
        <v>49.1</v>
      </c>
      <c r="E20" s="1">
        <v>706.09</v>
      </c>
      <c r="F20" s="1">
        <v>163.9</v>
      </c>
      <c r="G20" s="3">
        <v>446</v>
      </c>
    </row>
    <row r="21" spans="1:7">
      <c r="A21" s="2">
        <v>43495</v>
      </c>
      <c r="B21" s="1">
        <v>23.08</v>
      </c>
      <c r="C21" s="1">
        <v>0.61</v>
      </c>
      <c r="D21" s="1">
        <v>53.6</v>
      </c>
      <c r="E21" s="1">
        <v>705.89</v>
      </c>
      <c r="F21" s="1">
        <v>137.21</v>
      </c>
      <c r="G21" s="3">
        <v>555</v>
      </c>
    </row>
    <row r="22" spans="1:7">
      <c r="A22" s="2">
        <v>43496</v>
      </c>
      <c r="B22" s="1">
        <v>23.04</v>
      </c>
      <c r="C22" s="1">
        <v>0.53</v>
      </c>
      <c r="D22" s="1">
        <v>60.76</v>
      </c>
      <c r="E22" s="1">
        <v>707.14</v>
      </c>
      <c r="F22" s="1">
        <v>154.41</v>
      </c>
      <c r="G22" s="3">
        <v>716</v>
      </c>
    </row>
    <row r="23" spans="1:7">
      <c r="A23" s="2">
        <v>43497</v>
      </c>
      <c r="B23" s="1">
        <v>23.64</v>
      </c>
      <c r="C23" s="1">
        <v>0.56999999999999995</v>
      </c>
      <c r="D23" s="1">
        <v>60.34</v>
      </c>
      <c r="E23" s="1">
        <v>707.78</v>
      </c>
      <c r="F23" s="1">
        <v>158.08000000000001</v>
      </c>
      <c r="G23" s="3">
        <v>709</v>
      </c>
    </row>
    <row r="24" spans="1:7">
      <c r="A24" s="2">
        <v>43498</v>
      </c>
      <c r="B24" s="1">
        <v>24.13</v>
      </c>
      <c r="C24" s="1">
        <v>0.62</v>
      </c>
      <c r="D24" s="1">
        <v>58.29</v>
      </c>
      <c r="E24" s="1">
        <v>707.51</v>
      </c>
      <c r="F24" s="1">
        <v>148.63999999999999</v>
      </c>
      <c r="G24" s="3">
        <v>662</v>
      </c>
    </row>
    <row r="25" spans="1:7">
      <c r="A25" s="2">
        <v>43499</v>
      </c>
      <c r="B25" s="1">
        <v>24.45</v>
      </c>
      <c r="C25" s="1">
        <v>0.61</v>
      </c>
      <c r="D25" s="1">
        <v>53.51</v>
      </c>
      <c r="E25" s="1">
        <v>706.79</v>
      </c>
      <c r="F25" s="1">
        <v>155.28</v>
      </c>
      <c r="G25" s="3">
        <v>683</v>
      </c>
    </row>
    <row r="26" spans="1:7">
      <c r="A26" s="2">
        <v>43500</v>
      </c>
      <c r="B26" s="1">
        <v>24.16</v>
      </c>
      <c r="C26" s="1">
        <v>0.64</v>
      </c>
      <c r="D26" s="1">
        <v>54.81</v>
      </c>
      <c r="E26" s="1">
        <v>706.57</v>
      </c>
      <c r="F26" s="1">
        <v>145.1</v>
      </c>
      <c r="G26" s="3">
        <v>623</v>
      </c>
    </row>
    <row r="27" spans="1:7">
      <c r="A27" s="2">
        <v>43501</v>
      </c>
      <c r="B27" s="1">
        <v>23.85</v>
      </c>
      <c r="C27" s="1">
        <v>0.6</v>
      </c>
      <c r="D27" s="1">
        <v>55.5</v>
      </c>
      <c r="E27" s="1">
        <v>706.08</v>
      </c>
      <c r="F27" s="1">
        <v>160.9</v>
      </c>
      <c r="G27" s="3">
        <v>706</v>
      </c>
    </row>
    <row r="28" spans="1:7">
      <c r="A28" s="2">
        <v>43502</v>
      </c>
      <c r="B28" s="1">
        <v>24.46</v>
      </c>
      <c r="C28" s="1">
        <v>0.52</v>
      </c>
      <c r="D28" s="1">
        <v>56.96</v>
      </c>
      <c r="E28" s="1">
        <v>705.97</v>
      </c>
      <c r="F28" s="1">
        <v>145.75</v>
      </c>
      <c r="G28" s="3">
        <v>685</v>
      </c>
    </row>
    <row r="29" spans="1:7">
      <c r="A29" s="2">
        <v>43503</v>
      </c>
      <c r="B29" s="1">
        <v>24.44</v>
      </c>
      <c r="C29" s="1">
        <v>0.59</v>
      </c>
      <c r="D29" s="1">
        <v>54.3</v>
      </c>
      <c r="E29" s="1">
        <v>706.18</v>
      </c>
      <c r="F29" s="1">
        <v>149.19</v>
      </c>
      <c r="G29" s="3">
        <v>686</v>
      </c>
    </row>
    <row r="30" spans="1:7">
      <c r="A30" s="2">
        <v>43504</v>
      </c>
      <c r="B30" s="1">
        <v>24.28</v>
      </c>
      <c r="C30" s="1">
        <v>0.62</v>
      </c>
      <c r="D30" s="1">
        <v>55.25</v>
      </c>
      <c r="E30" s="1">
        <v>706.38</v>
      </c>
      <c r="F30" s="1">
        <v>137.27000000000001</v>
      </c>
      <c r="G30" s="3">
        <v>663</v>
      </c>
    </row>
    <row r="31" spans="1:7">
      <c r="A31" s="2">
        <v>43505</v>
      </c>
      <c r="B31" s="7">
        <v>23.68</v>
      </c>
      <c r="C31" s="7">
        <v>0.67</v>
      </c>
      <c r="D31" s="7">
        <v>59.58</v>
      </c>
      <c r="E31" s="7">
        <v>706.72</v>
      </c>
      <c r="F31" s="7">
        <v>148.84</v>
      </c>
      <c r="G31" s="8">
        <v>666</v>
      </c>
    </row>
    <row r="32" spans="1:7">
      <c r="A32" s="11"/>
      <c r="B32" s="12"/>
      <c r="C32" s="12"/>
      <c r="D32" s="12"/>
      <c r="E32" s="12"/>
      <c r="F32" s="12"/>
      <c r="G32" s="13">
        <f>SUM(Table1[Energy (kwh)])</f>
        <v>18118</v>
      </c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D72"/>
  <sheetViews>
    <sheetView tabSelected="1" workbookViewId="0">
      <selection activeCell="F39" sqref="F39"/>
    </sheetView>
  </sheetViews>
  <sheetFormatPr defaultRowHeight="15"/>
  <cols>
    <col min="1" max="1" width="22.85546875" customWidth="1"/>
    <col min="2" max="2" width="22.42578125" customWidth="1"/>
    <col min="3" max="3" width="22.5703125" customWidth="1"/>
  </cols>
  <sheetData>
    <row r="2" spans="1:2">
      <c r="A2" s="17" t="s">
        <v>7</v>
      </c>
      <c r="B2" s="18" t="s">
        <v>13</v>
      </c>
    </row>
    <row r="3" spans="1:2">
      <c r="A3" s="16" t="s">
        <v>8</v>
      </c>
      <c r="B3" s="9">
        <f>SUM(Table1[Energy (kwh)])</f>
        <v>18118</v>
      </c>
    </row>
    <row r="4" spans="1:2">
      <c r="A4" s="16" t="s">
        <v>9</v>
      </c>
      <c r="B4" s="28">
        <f>AVERAGE(Table1[Energy (kwh)])</f>
        <v>603.93333333333328</v>
      </c>
    </row>
    <row r="5" spans="1:2">
      <c r="A5" s="16" t="s">
        <v>10</v>
      </c>
      <c r="B5" s="9">
        <f>MAX(Table1[Energy (kwh)])</f>
        <v>716</v>
      </c>
    </row>
    <row r="6" spans="1:2">
      <c r="A6" s="10" t="s">
        <v>11</v>
      </c>
      <c r="B6" s="9">
        <f>MIN(Table1[Energy (kwh)])</f>
        <v>243</v>
      </c>
    </row>
    <row r="7" spans="1:2">
      <c r="A7" s="16" t="s">
        <v>12</v>
      </c>
      <c r="B7" s="28">
        <f>_xlfn.STDEV.P(Table1[Energy (kwh)])</f>
        <v>92.718546628432918</v>
      </c>
    </row>
    <row r="8" spans="1:2">
      <c r="A8" s="16" t="s">
        <v>17</v>
      </c>
      <c r="B8" s="28">
        <f>AVERAGE(Table1[SR])</f>
        <v>156.61033333333333</v>
      </c>
    </row>
    <row r="9" spans="1:2">
      <c r="A9" s="15"/>
    </row>
    <row r="41" spans="1:4" ht="15.75">
      <c r="A41" s="36" t="s">
        <v>14</v>
      </c>
      <c r="B41" s="36"/>
      <c r="C41" s="36"/>
      <c r="D41" s="20"/>
    </row>
    <row r="42" spans="1:4" ht="15.75">
      <c r="A42" s="24" t="s">
        <v>15</v>
      </c>
      <c r="B42" s="25" t="s">
        <v>16</v>
      </c>
      <c r="C42" s="25" t="s">
        <v>18</v>
      </c>
    </row>
    <row r="43" spans="1:4">
      <c r="A43" s="22">
        <f>'Raw Data'!G2/'Raw Data'!F2</f>
        <v>3.6485897515721311</v>
      </c>
      <c r="B43" s="23">
        <f>('Raw Data'!G2/Analysis!B4) / ('Raw Data'!F2/Analysis!B8)</f>
        <v>0.94614227374483173</v>
      </c>
      <c r="C43" s="21" t="str">
        <f>IF($A$43&lt;AVERAGE($A$43:$A$72)*0.85, "INVESTIGATE", "OK")</f>
        <v>OK</v>
      </c>
    </row>
    <row r="44" spans="1:4">
      <c r="A44" s="22">
        <f>'Raw Data'!G3/'Raw Data'!F3</f>
        <v>1.6425577937001488</v>
      </c>
      <c r="B44" s="23">
        <f>('Raw Data'!G3/Analysis!B4) / ('Raw Data'!F3/Analysis!B8)</f>
        <v>0.42594357587588844</v>
      </c>
      <c r="C44" s="21" t="str">
        <f t="shared" ref="C44:C72" si="0">IF($A$43&lt;AVERAGE($A$43:$A$72)*0.85, "INVESTIGATE", "OK")</f>
        <v>OK</v>
      </c>
    </row>
    <row r="45" spans="1:4">
      <c r="A45" s="22">
        <f>'Raw Data'!G4/'Raw Data'!F4</f>
        <v>3.2404497520776592</v>
      </c>
      <c r="B45" s="23">
        <f>('Raw Data'!G4/Analysis!$B$4) / ('Raw Data'!F4/Analysis!$B$8)</f>
        <v>0.84030453000794725</v>
      </c>
      <c r="C45" s="21" t="str">
        <f t="shared" si="0"/>
        <v>OK</v>
      </c>
    </row>
    <row r="46" spans="1:4">
      <c r="A46" s="22">
        <f>'Raw Data'!G5/'Raw Data'!F5</f>
        <v>3.4241747914953602</v>
      </c>
      <c r="B46" s="23">
        <f>('Raw Data'!G5/Analysis!$B$4) / ('Raw Data'!F5/Analysis!$B$8)</f>
        <v>0.88794760263994743</v>
      </c>
      <c r="C46" s="21" t="str">
        <f t="shared" si="0"/>
        <v>OK</v>
      </c>
    </row>
    <row r="47" spans="1:4">
      <c r="A47" s="22">
        <f>'Raw Data'!G6/'Raw Data'!F6</f>
        <v>3.8140569944983618</v>
      </c>
      <c r="B47" s="23">
        <f>('Raw Data'!G6/Analysis!$B$4) / ('Raw Data'!F6/Analysis!$B$8)</f>
        <v>0.98905078473460617</v>
      </c>
      <c r="C47" s="21" t="str">
        <f t="shared" si="0"/>
        <v>OK</v>
      </c>
    </row>
    <row r="48" spans="1:4">
      <c r="A48" s="22">
        <f>'Raw Data'!G7/'Raw Data'!F7</f>
        <v>3.758198900904095</v>
      </c>
      <c r="B48" s="23">
        <f>('Raw Data'!G7/Analysis!$B$4) / ('Raw Data'!F7/Analysis!$B$8)</f>
        <v>0.97456581731464409</v>
      </c>
      <c r="C48" s="21" t="str">
        <f t="shared" si="0"/>
        <v>OK</v>
      </c>
    </row>
    <row r="49" spans="1:3">
      <c r="A49" s="22">
        <f>'Raw Data'!G8/'Raw Data'!F8</f>
        <v>3.6701235794572438</v>
      </c>
      <c r="B49" s="23">
        <f>('Raw Data'!G8/Analysis!$B$4) / ('Raw Data'!F8/Analysis!$B$8)</f>
        <v>0.95172636685063283</v>
      </c>
      <c r="C49" s="21" t="str">
        <f t="shared" si="0"/>
        <v>OK</v>
      </c>
    </row>
    <row r="50" spans="1:3">
      <c r="A50" s="22">
        <f>'Raw Data'!G9/'Raw Data'!F9</f>
        <v>3.6240171551107934</v>
      </c>
      <c r="B50" s="23">
        <f>('Raw Data'!G9/Analysis!$B$4) / ('Raw Data'!F9/Analysis!$B$8)</f>
        <v>0.93977017551763964</v>
      </c>
      <c r="C50" s="21" t="str">
        <f t="shared" si="0"/>
        <v>OK</v>
      </c>
    </row>
    <row r="51" spans="1:3">
      <c r="A51" s="22">
        <f>'Raw Data'!G10/'Raw Data'!F10</f>
        <v>3.6600419701271445</v>
      </c>
      <c r="B51" s="23">
        <f>('Raw Data'!G10/Analysis!$B$4) / ('Raw Data'!F10/Analysis!$B$8)</f>
        <v>0.94911203160768653</v>
      </c>
      <c r="C51" s="21" t="str">
        <f t="shared" si="0"/>
        <v>OK</v>
      </c>
    </row>
    <row r="52" spans="1:3">
      <c r="A52" s="22">
        <f>'Raw Data'!G11/'Raw Data'!F11</f>
        <v>3.6265908810082785</v>
      </c>
      <c r="B52" s="23">
        <f>('Raw Data'!G11/Analysis!$B$4) / ('Raw Data'!F11/Analysis!$B$8)</f>
        <v>0.94043758704879166</v>
      </c>
      <c r="C52" s="21" t="str">
        <f t="shared" si="0"/>
        <v>OK</v>
      </c>
    </row>
    <row r="53" spans="1:3">
      <c r="A53" s="22">
        <f>'Raw Data'!G12/'Raw Data'!F12</f>
        <v>3.7502952988424285</v>
      </c>
      <c r="B53" s="23">
        <f>('Raw Data'!G12/Analysis!$B$4) / ('Raw Data'!F12/Analysis!$B$8)</f>
        <v>0.9725162769347816</v>
      </c>
      <c r="C53" s="21" t="str">
        <f t="shared" si="0"/>
        <v>OK</v>
      </c>
    </row>
    <row r="54" spans="1:3">
      <c r="A54" s="22">
        <f>'Raw Data'!G13/'Raw Data'!F13</f>
        <v>3.6392213758916698</v>
      </c>
      <c r="B54" s="23">
        <f>('Raw Data'!G13/Analysis!$B$4) / ('Raw Data'!F13/Analysis!$B$8)</f>
        <v>0.94371289229305633</v>
      </c>
      <c r="C54" s="21" t="str">
        <f t="shared" si="0"/>
        <v>OK</v>
      </c>
    </row>
    <row r="55" spans="1:3">
      <c r="A55" s="22">
        <f>'Raw Data'!G14/'Raw Data'!F14</f>
        <v>3.723052903380772</v>
      </c>
      <c r="B55" s="23">
        <f>('Raw Data'!G14/Analysis!$B$4) / ('Raw Data'!F14/Analysis!$B$8)</f>
        <v>0.96545185376326947</v>
      </c>
      <c r="C55" s="21" t="str">
        <f t="shared" si="0"/>
        <v>OK</v>
      </c>
    </row>
    <row r="56" spans="1:3">
      <c r="A56" s="22">
        <f>'Raw Data'!G15/'Raw Data'!F15</f>
        <v>3.7724294200502175</v>
      </c>
      <c r="B56" s="23">
        <f>('Raw Data'!G15/Analysis!$B$4) / ('Raw Data'!F15/Analysis!$B$8)</f>
        <v>0.97825603645634951</v>
      </c>
      <c r="C56" s="21" t="str">
        <f t="shared" si="0"/>
        <v>OK</v>
      </c>
    </row>
    <row r="57" spans="1:3">
      <c r="A57" s="22">
        <f>'Raw Data'!G16/'Raw Data'!F16</f>
        <v>3.7578674564975936</v>
      </c>
      <c r="B57" s="23">
        <f>('Raw Data'!G16/Analysis!$B$4) / ('Raw Data'!F16/Analysis!$B$8)</f>
        <v>0.97447986806144216</v>
      </c>
      <c r="C57" s="21" t="str">
        <f t="shared" si="0"/>
        <v>OK</v>
      </c>
    </row>
    <row r="58" spans="1:3">
      <c r="A58" s="22">
        <f>'Raw Data'!G17/'Raw Data'!F17</f>
        <v>3.7442577559624945</v>
      </c>
      <c r="B58" s="23">
        <f>('Raw Data'!G17/Analysis!$B$4) / ('Raw Data'!F17/Analysis!$B$8)</f>
        <v>0.97095063789690628</v>
      </c>
      <c r="C58" s="21" t="str">
        <f t="shared" si="0"/>
        <v>OK</v>
      </c>
    </row>
    <row r="59" spans="1:3">
      <c r="A59" s="22">
        <f>'Raw Data'!G18/'Raw Data'!F18</f>
        <v>3.46941204475125</v>
      </c>
      <c r="B59" s="23">
        <f>('Raw Data'!G18/Analysis!$B$4) / ('Raw Data'!F18/Analysis!$B$8)</f>
        <v>0.89967840291286272</v>
      </c>
      <c r="C59" s="21" t="str">
        <f t="shared" si="0"/>
        <v>OK</v>
      </c>
    </row>
    <row r="60" spans="1:3">
      <c r="A60" s="22">
        <f>'Raw Data'!G19/'Raw Data'!F19</f>
        <v>4.0096082779009601</v>
      </c>
      <c r="B60" s="23">
        <f>('Raw Data'!G19/Analysis!$B$4) / ('Raw Data'!F19/Analysis!$B$8)</f>
        <v>1.0397606064767007</v>
      </c>
      <c r="C60" s="21" t="str">
        <f t="shared" si="0"/>
        <v>OK</v>
      </c>
    </row>
    <row r="61" spans="1:3">
      <c r="A61" s="22">
        <f>'Raw Data'!G20/'Raw Data'!F20</f>
        <v>2.7211714460036607</v>
      </c>
      <c r="B61" s="23">
        <f>('Raw Data'!G20/Analysis!$B$4) / ('Raw Data'!F20/Analysis!$B$8)</f>
        <v>0.70564670584355116</v>
      </c>
      <c r="C61" s="21" t="str">
        <f t="shared" si="0"/>
        <v>OK</v>
      </c>
    </row>
    <row r="62" spans="1:3">
      <c r="A62" s="22">
        <f>'Raw Data'!G21/'Raw Data'!F21</f>
        <v>4.0448946869761677</v>
      </c>
      <c r="B62" s="23">
        <f>('Raw Data'!G21/Analysis!$B$4) / ('Raw Data'!F21/Analysis!$B$8)</f>
        <v>1.0489109811660779</v>
      </c>
      <c r="C62" s="21" t="str">
        <f t="shared" si="0"/>
        <v>OK</v>
      </c>
    </row>
    <row r="63" spans="1:3">
      <c r="A63" s="22">
        <f>'Raw Data'!G22/'Raw Data'!F22</f>
        <v>4.6370053752995277</v>
      </c>
      <c r="B63" s="23">
        <f>('Raw Data'!G22/Analysis!$B$4) / ('Raw Data'!F22/Analysis!$B$8)</f>
        <v>1.2024554986656102</v>
      </c>
      <c r="C63" s="21" t="str">
        <f t="shared" si="0"/>
        <v>OK</v>
      </c>
    </row>
    <row r="64" spans="1:3">
      <c r="A64" s="22">
        <f>'Raw Data'!G23/'Raw Data'!F23</f>
        <v>4.4850708502024288</v>
      </c>
      <c r="B64" s="23">
        <f>('Raw Data'!G23/Analysis!$B$4) / ('Raw Data'!F23/Analysis!$B$8)</f>
        <v>1.1630562548964882</v>
      </c>
      <c r="C64" s="21" t="str">
        <f t="shared" si="0"/>
        <v>OK</v>
      </c>
    </row>
    <row r="65" spans="1:3">
      <c r="A65" s="22">
        <f>'Raw Data'!G24/'Raw Data'!F24</f>
        <v>4.4537136706135634</v>
      </c>
      <c r="B65" s="23">
        <f>('Raw Data'!G24/Analysis!$B$4) / ('Raw Data'!F24/Analysis!$B$8)</f>
        <v>1.1549247972061161</v>
      </c>
      <c r="C65" s="21" t="str">
        <f t="shared" si="0"/>
        <v>OK</v>
      </c>
    </row>
    <row r="66" spans="1:3">
      <c r="A66" s="22">
        <f>'Raw Data'!G25/'Raw Data'!F25</f>
        <v>4.3985059247810403</v>
      </c>
      <c r="B66" s="23">
        <f>('Raw Data'!G25/Analysis!$B$4) / ('Raw Data'!F25/Analysis!$B$8)</f>
        <v>1.1406084761815882</v>
      </c>
      <c r="C66" s="21" t="str">
        <f t="shared" si="0"/>
        <v>OK</v>
      </c>
    </row>
    <row r="67" spans="1:3">
      <c r="A67" s="22">
        <f>'Raw Data'!G26/'Raw Data'!F26</f>
        <v>4.2935906271536872</v>
      </c>
      <c r="B67" s="23">
        <f>('Raw Data'!G26/Analysis!$B$4) / ('Raw Data'!F26/Analysis!$B$8)</f>
        <v>1.1134021293444332</v>
      </c>
      <c r="C67" s="21" t="str">
        <f t="shared" si="0"/>
        <v>OK</v>
      </c>
    </row>
    <row r="68" spans="1:3">
      <c r="A68" s="22">
        <f>'Raw Data'!G27/'Raw Data'!F27</f>
        <v>4.3878185208203853</v>
      </c>
      <c r="B68" s="23">
        <f>('Raw Data'!G27/Analysis!$B$4) / ('Raw Data'!F27/Analysis!$B$8)</f>
        <v>1.1378370479388247</v>
      </c>
      <c r="C68" s="21" t="str">
        <f t="shared" si="0"/>
        <v>OK</v>
      </c>
    </row>
    <row r="69" spans="1:3">
      <c r="A69" s="22">
        <f>'Raw Data'!G28/'Raw Data'!F28</f>
        <v>4.6998284734133788</v>
      </c>
      <c r="B69" s="23">
        <f>('Raw Data'!G28/Analysis!$B$4) / ('Raw Data'!F28/Analysis!$B$8)</f>
        <v>1.2187466119286243</v>
      </c>
      <c r="C69" s="21" t="str">
        <f t="shared" si="0"/>
        <v>OK</v>
      </c>
    </row>
    <row r="70" spans="1:3">
      <c r="A70" s="22">
        <f>'Raw Data'!G29/'Raw Data'!F29</f>
        <v>4.5981634157785374</v>
      </c>
      <c r="B70" s="23">
        <f>('Raw Data'!G29/Analysis!$B$4) / ('Raw Data'!F29/Analysis!$B$8)</f>
        <v>1.1923831083997383</v>
      </c>
      <c r="C70" s="21" t="str">
        <f t="shared" si="0"/>
        <v>OK</v>
      </c>
    </row>
    <row r="71" spans="1:3">
      <c r="A71" s="22">
        <f>'Raw Data'!G30/'Raw Data'!F30</f>
        <v>4.8298972827274707</v>
      </c>
      <c r="B71" s="23">
        <f>('Raw Data'!G30/Analysis!$B$4) / ('Raw Data'!F30/Analysis!$B$8)</f>
        <v>1.2524756983337733</v>
      </c>
      <c r="C71" s="21" t="str">
        <f t="shared" si="0"/>
        <v>OK</v>
      </c>
    </row>
    <row r="72" spans="1:3">
      <c r="A72" s="22">
        <f>'Raw Data'!G31/'Raw Data'!F31</f>
        <v>4.4746036011824781</v>
      </c>
      <c r="B72" s="23">
        <f>('Raw Data'!G31/Analysis!$B$4) / ('Raw Data'!F31/Analysis!$B$8)</f>
        <v>1.1603419166283062</v>
      </c>
      <c r="C72" s="21" t="str">
        <f t="shared" si="0"/>
        <v>OK</v>
      </c>
    </row>
  </sheetData>
  <mergeCells count="1">
    <mergeCell ref="A41:C41"/>
  </mergeCells>
  <conditionalFormatting sqref="C43:C72">
    <cfRule type="expression" priority="1">
      <formula>"IF($A$43&lt;AVERAGE($A$43:$A$72)*0.85, ""INVESTIGATE"", ""OK"")"</formula>
    </cfRule>
    <cfRule type="expression" priority="2">
      <formula>"IF($A$43&lt; AVERAGE($A$43)*0.85, ""Investigate!"", ""OK"")"</formula>
    </cfRule>
  </conditionalFormatting>
  <pageMargins left="0.7" right="0.7" top="0.75" bottom="0.75" header="0.3" footer="0.3"/>
  <drawing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showGridLines="0" topLeftCell="B1" zoomScaleNormal="100" workbookViewId="0">
      <selection activeCell="H14" sqref="H14"/>
    </sheetView>
  </sheetViews>
  <sheetFormatPr defaultRowHeight="15"/>
  <cols>
    <col min="2" max="2" width="25.85546875" customWidth="1"/>
    <col min="3" max="3" width="29.42578125" customWidth="1"/>
    <col min="4" max="4" width="32.85546875" customWidth="1"/>
    <col min="5" max="5" width="56.28515625" customWidth="1"/>
  </cols>
  <sheetData>
    <row r="1" spans="1:16" ht="18">
      <c r="A1" s="37" t="s">
        <v>19</v>
      </c>
      <c r="B1" s="37"/>
      <c r="C1" s="37"/>
      <c r="D1" s="37"/>
      <c r="E1" s="37"/>
      <c r="F1" s="27"/>
      <c r="G1" s="27"/>
      <c r="H1" s="27"/>
      <c r="I1" s="20"/>
      <c r="J1" s="20"/>
      <c r="K1" s="20"/>
      <c r="L1" s="20"/>
      <c r="M1" s="20"/>
      <c r="N1" s="20"/>
      <c r="O1" s="20"/>
      <c r="P1" s="20"/>
    </row>
    <row r="2" spans="1:16" ht="18">
      <c r="A2" s="26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>
      <c r="B3" s="29" t="s">
        <v>8</v>
      </c>
      <c r="C3" s="30" t="s">
        <v>9</v>
      </c>
      <c r="D3" s="30" t="s">
        <v>20</v>
      </c>
      <c r="E3" s="31" t="s">
        <v>21</v>
      </c>
      <c r="F3" s="14"/>
      <c r="G3" s="14"/>
    </row>
    <row r="4" spans="1:16">
      <c r="B4" s="32">
        <f>Analysis!B3</f>
        <v>18118</v>
      </c>
      <c r="C4" s="33">
        <f>Table2[[#This Row],[Value ]]</f>
        <v>603.93333333333328</v>
      </c>
      <c r="D4" s="34">
        <f>Analysis!B5</f>
        <v>716</v>
      </c>
      <c r="E4" s="35">
        <f>Analysis!B6</f>
        <v>243</v>
      </c>
    </row>
    <row r="5" spans="1:16">
      <c r="B5" s="14"/>
    </row>
  </sheetData>
  <mergeCells count="1">
    <mergeCell ref="A1:E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Analysis</vt:lpstr>
      <vt:lpstr>Monthly Performance 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2026-01-26T11:19:49Z</dcterms:created>
  <dcterms:modified xsi:type="dcterms:W3CDTF">2026-01-28T14:07:17Z</dcterms:modified>
</cp:coreProperties>
</file>